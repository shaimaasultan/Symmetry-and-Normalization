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drawings/drawing2.xml" ContentType="application/vnd.openxmlformats-officedocument.drawing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drawings/drawing3.xml" ContentType="application/vnd.openxmlformats-officedocument.drawing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bmission\AKernel–Lattice Criterion Equivalent to the Riemann Hypothesis\"/>
    </mc:Choice>
  </mc:AlternateContent>
  <xr:revisionPtr revIDLastSave="0" documentId="8_{3E210A13-AB85-4115-9FD2-40C7965D90B2}" xr6:coauthVersionLast="47" xr6:coauthVersionMax="47" xr10:uidLastSave="{00000000-0000-0000-0000-000000000000}"/>
  <bookViews>
    <workbookView xWindow="28680" yWindow="1605" windowWidth="29040" windowHeight="15720" activeTab="2" xr2:uid="{214D5252-AF37-4569-89F7-D7B11F811ED1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3" l="1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2" i="3"/>
  <c r="O96" i="3"/>
  <c r="L96" i="3"/>
  <c r="I96" i="3"/>
  <c r="F96" i="3"/>
  <c r="D96" i="3"/>
  <c r="O95" i="3"/>
  <c r="L95" i="3"/>
  <c r="I95" i="3"/>
  <c r="F95" i="3"/>
  <c r="D95" i="3"/>
  <c r="O94" i="3"/>
  <c r="L94" i="3"/>
  <c r="I94" i="3"/>
  <c r="F94" i="3"/>
  <c r="D94" i="3"/>
  <c r="O93" i="3"/>
  <c r="L93" i="3"/>
  <c r="I93" i="3"/>
  <c r="F93" i="3"/>
  <c r="D93" i="3"/>
  <c r="O92" i="3"/>
  <c r="L92" i="3"/>
  <c r="I92" i="3"/>
  <c r="F92" i="3"/>
  <c r="D92" i="3"/>
  <c r="O91" i="3"/>
  <c r="L91" i="3"/>
  <c r="I91" i="3"/>
  <c r="F91" i="3"/>
  <c r="D91" i="3"/>
  <c r="O90" i="3"/>
  <c r="L90" i="3"/>
  <c r="I90" i="3"/>
  <c r="F90" i="3"/>
  <c r="D90" i="3"/>
  <c r="O89" i="3"/>
  <c r="L89" i="3"/>
  <c r="I89" i="3"/>
  <c r="F89" i="3"/>
  <c r="D89" i="3"/>
  <c r="O88" i="3"/>
  <c r="L88" i="3"/>
  <c r="I88" i="3"/>
  <c r="F88" i="3"/>
  <c r="D88" i="3"/>
  <c r="O87" i="3"/>
  <c r="L87" i="3"/>
  <c r="I87" i="3"/>
  <c r="F87" i="3"/>
  <c r="D87" i="3"/>
  <c r="O86" i="3"/>
  <c r="L86" i="3"/>
  <c r="I86" i="3"/>
  <c r="F86" i="3"/>
  <c r="D86" i="3"/>
  <c r="O85" i="3"/>
  <c r="L85" i="3"/>
  <c r="I85" i="3"/>
  <c r="F85" i="3"/>
  <c r="D85" i="3"/>
  <c r="O84" i="3"/>
  <c r="L84" i="3"/>
  <c r="I84" i="3"/>
  <c r="F84" i="3"/>
  <c r="D84" i="3"/>
  <c r="O83" i="3"/>
  <c r="L83" i="3"/>
  <c r="I83" i="3"/>
  <c r="F83" i="3"/>
  <c r="D83" i="3"/>
  <c r="O82" i="3"/>
  <c r="L82" i="3"/>
  <c r="I82" i="3"/>
  <c r="F82" i="3"/>
  <c r="D82" i="3"/>
  <c r="O81" i="3"/>
  <c r="L81" i="3"/>
  <c r="I81" i="3"/>
  <c r="F81" i="3"/>
  <c r="D81" i="3"/>
  <c r="O80" i="3"/>
  <c r="L80" i="3"/>
  <c r="I80" i="3"/>
  <c r="F80" i="3"/>
  <c r="D80" i="3"/>
  <c r="O79" i="3"/>
  <c r="L79" i="3"/>
  <c r="I79" i="3"/>
  <c r="F79" i="3"/>
  <c r="D79" i="3"/>
  <c r="O78" i="3"/>
  <c r="L78" i="3"/>
  <c r="I78" i="3"/>
  <c r="F78" i="3"/>
  <c r="D78" i="3"/>
  <c r="O77" i="3"/>
  <c r="L77" i="3"/>
  <c r="I77" i="3"/>
  <c r="F77" i="3"/>
  <c r="D77" i="3"/>
  <c r="O76" i="3"/>
  <c r="L76" i="3"/>
  <c r="I76" i="3"/>
  <c r="F76" i="3"/>
  <c r="D76" i="3"/>
  <c r="O75" i="3"/>
  <c r="L75" i="3"/>
  <c r="I75" i="3"/>
  <c r="F75" i="3"/>
  <c r="D75" i="3"/>
  <c r="O74" i="3"/>
  <c r="L74" i="3"/>
  <c r="I74" i="3"/>
  <c r="F74" i="3"/>
  <c r="D74" i="3"/>
  <c r="O73" i="3"/>
  <c r="L73" i="3"/>
  <c r="I73" i="3"/>
  <c r="F73" i="3"/>
  <c r="D73" i="3"/>
  <c r="O72" i="3"/>
  <c r="L72" i="3"/>
  <c r="I72" i="3"/>
  <c r="F72" i="3"/>
  <c r="D72" i="3"/>
  <c r="O71" i="3"/>
  <c r="L71" i="3"/>
  <c r="I71" i="3"/>
  <c r="F71" i="3"/>
  <c r="D71" i="3"/>
  <c r="O70" i="3"/>
  <c r="L70" i="3"/>
  <c r="I70" i="3"/>
  <c r="F70" i="3"/>
  <c r="D70" i="3"/>
  <c r="O69" i="3"/>
  <c r="L69" i="3"/>
  <c r="I69" i="3"/>
  <c r="F69" i="3"/>
  <c r="D69" i="3"/>
  <c r="O68" i="3"/>
  <c r="L68" i="3"/>
  <c r="I68" i="3"/>
  <c r="F68" i="3"/>
  <c r="D68" i="3"/>
  <c r="O67" i="3"/>
  <c r="L67" i="3"/>
  <c r="I67" i="3"/>
  <c r="F67" i="3"/>
  <c r="D67" i="3"/>
  <c r="O66" i="3"/>
  <c r="L66" i="3"/>
  <c r="I66" i="3"/>
  <c r="F66" i="3"/>
  <c r="D66" i="3"/>
  <c r="O65" i="3"/>
  <c r="L65" i="3"/>
  <c r="I65" i="3"/>
  <c r="F65" i="3"/>
  <c r="D65" i="3"/>
  <c r="O64" i="3"/>
  <c r="L64" i="3"/>
  <c r="I64" i="3"/>
  <c r="F64" i="3"/>
  <c r="D64" i="3"/>
  <c r="O63" i="3"/>
  <c r="L63" i="3"/>
  <c r="I63" i="3"/>
  <c r="F63" i="3"/>
  <c r="D63" i="3"/>
  <c r="O62" i="3"/>
  <c r="L62" i="3"/>
  <c r="I62" i="3"/>
  <c r="F62" i="3"/>
  <c r="D62" i="3"/>
  <c r="O61" i="3"/>
  <c r="L61" i="3"/>
  <c r="I61" i="3"/>
  <c r="F61" i="3"/>
  <c r="D61" i="3"/>
  <c r="O60" i="3"/>
  <c r="L60" i="3"/>
  <c r="I60" i="3"/>
  <c r="F60" i="3"/>
  <c r="D60" i="3"/>
  <c r="O59" i="3"/>
  <c r="L59" i="3"/>
  <c r="I59" i="3"/>
  <c r="F59" i="3"/>
  <c r="D59" i="3"/>
  <c r="O58" i="3"/>
  <c r="L58" i="3"/>
  <c r="I58" i="3"/>
  <c r="F58" i="3"/>
  <c r="D58" i="3"/>
  <c r="O57" i="3"/>
  <c r="L57" i="3"/>
  <c r="I57" i="3"/>
  <c r="F57" i="3"/>
  <c r="D57" i="3"/>
  <c r="O56" i="3"/>
  <c r="L56" i="3"/>
  <c r="I56" i="3"/>
  <c r="F56" i="3"/>
  <c r="D56" i="3"/>
  <c r="O55" i="3"/>
  <c r="L55" i="3"/>
  <c r="I55" i="3"/>
  <c r="F55" i="3"/>
  <c r="D55" i="3"/>
  <c r="O54" i="3"/>
  <c r="L54" i="3"/>
  <c r="I54" i="3"/>
  <c r="F54" i="3"/>
  <c r="D54" i="3"/>
  <c r="O53" i="3"/>
  <c r="L53" i="3"/>
  <c r="I53" i="3"/>
  <c r="F53" i="3"/>
  <c r="D53" i="3"/>
  <c r="O52" i="3"/>
  <c r="L52" i="3"/>
  <c r="I52" i="3"/>
  <c r="F52" i="3"/>
  <c r="D52" i="3"/>
  <c r="O51" i="3"/>
  <c r="L51" i="3"/>
  <c r="I51" i="3"/>
  <c r="F51" i="3"/>
  <c r="D51" i="3"/>
  <c r="O50" i="3"/>
  <c r="L50" i="3"/>
  <c r="I50" i="3"/>
  <c r="F50" i="3"/>
  <c r="D50" i="3"/>
  <c r="O49" i="3"/>
  <c r="L49" i="3"/>
  <c r="I49" i="3"/>
  <c r="F49" i="3"/>
  <c r="D49" i="3"/>
  <c r="O48" i="3"/>
  <c r="L48" i="3"/>
  <c r="I48" i="3"/>
  <c r="F48" i="3"/>
  <c r="D48" i="3"/>
  <c r="O47" i="3"/>
  <c r="L47" i="3"/>
  <c r="I47" i="3"/>
  <c r="F47" i="3"/>
  <c r="D47" i="3"/>
  <c r="O46" i="3"/>
  <c r="L46" i="3"/>
  <c r="I46" i="3"/>
  <c r="F46" i="3"/>
  <c r="D46" i="3"/>
  <c r="O45" i="3"/>
  <c r="L45" i="3"/>
  <c r="I45" i="3"/>
  <c r="F45" i="3"/>
  <c r="D45" i="3"/>
  <c r="O44" i="3"/>
  <c r="L44" i="3"/>
  <c r="I44" i="3"/>
  <c r="F44" i="3"/>
  <c r="D44" i="3"/>
  <c r="O43" i="3"/>
  <c r="L43" i="3"/>
  <c r="I43" i="3"/>
  <c r="F43" i="3"/>
  <c r="D43" i="3"/>
  <c r="O42" i="3"/>
  <c r="L42" i="3"/>
  <c r="I42" i="3"/>
  <c r="F42" i="3"/>
  <c r="D42" i="3"/>
  <c r="O41" i="3"/>
  <c r="L41" i="3"/>
  <c r="I41" i="3"/>
  <c r="F41" i="3"/>
  <c r="D41" i="3"/>
  <c r="O40" i="3"/>
  <c r="L40" i="3"/>
  <c r="I40" i="3"/>
  <c r="F40" i="3"/>
  <c r="D40" i="3"/>
  <c r="O39" i="3"/>
  <c r="L39" i="3"/>
  <c r="I39" i="3"/>
  <c r="F39" i="3"/>
  <c r="D39" i="3"/>
  <c r="O38" i="3"/>
  <c r="L38" i="3"/>
  <c r="I38" i="3"/>
  <c r="F38" i="3"/>
  <c r="D38" i="3"/>
  <c r="O37" i="3"/>
  <c r="L37" i="3"/>
  <c r="I37" i="3"/>
  <c r="F37" i="3"/>
  <c r="D37" i="3"/>
  <c r="O36" i="3"/>
  <c r="L36" i="3"/>
  <c r="I36" i="3"/>
  <c r="F36" i="3"/>
  <c r="D36" i="3"/>
  <c r="O35" i="3"/>
  <c r="L35" i="3"/>
  <c r="I35" i="3"/>
  <c r="F35" i="3"/>
  <c r="D35" i="3"/>
  <c r="O34" i="3"/>
  <c r="L34" i="3"/>
  <c r="I34" i="3"/>
  <c r="F34" i="3"/>
  <c r="D34" i="3"/>
  <c r="O33" i="3"/>
  <c r="L33" i="3"/>
  <c r="I33" i="3"/>
  <c r="F33" i="3"/>
  <c r="D33" i="3"/>
  <c r="O32" i="3"/>
  <c r="L32" i="3"/>
  <c r="I32" i="3"/>
  <c r="F32" i="3"/>
  <c r="D32" i="3"/>
  <c r="O31" i="3"/>
  <c r="L31" i="3"/>
  <c r="I31" i="3"/>
  <c r="F31" i="3"/>
  <c r="D31" i="3"/>
  <c r="O30" i="3"/>
  <c r="L30" i="3"/>
  <c r="I30" i="3"/>
  <c r="F30" i="3"/>
  <c r="D30" i="3"/>
  <c r="O29" i="3"/>
  <c r="L29" i="3"/>
  <c r="I29" i="3"/>
  <c r="F29" i="3"/>
  <c r="D29" i="3"/>
  <c r="O28" i="3"/>
  <c r="L28" i="3"/>
  <c r="I28" i="3"/>
  <c r="F28" i="3"/>
  <c r="D28" i="3"/>
  <c r="O27" i="3"/>
  <c r="L27" i="3"/>
  <c r="I27" i="3"/>
  <c r="F27" i="3"/>
  <c r="D27" i="3"/>
  <c r="O26" i="3"/>
  <c r="L26" i="3"/>
  <c r="I26" i="3"/>
  <c r="F26" i="3"/>
  <c r="D26" i="3"/>
  <c r="O25" i="3"/>
  <c r="L25" i="3"/>
  <c r="I25" i="3"/>
  <c r="F25" i="3"/>
  <c r="D25" i="3"/>
  <c r="O24" i="3"/>
  <c r="L24" i="3"/>
  <c r="I24" i="3"/>
  <c r="F24" i="3"/>
  <c r="D24" i="3"/>
  <c r="O23" i="3"/>
  <c r="L23" i="3"/>
  <c r="I23" i="3"/>
  <c r="F23" i="3"/>
  <c r="D23" i="3"/>
  <c r="O22" i="3"/>
  <c r="L22" i="3"/>
  <c r="I22" i="3"/>
  <c r="F22" i="3"/>
  <c r="D22" i="3"/>
  <c r="O21" i="3"/>
  <c r="L21" i="3"/>
  <c r="I21" i="3"/>
  <c r="F21" i="3"/>
  <c r="D21" i="3"/>
  <c r="O20" i="3"/>
  <c r="L20" i="3"/>
  <c r="I20" i="3"/>
  <c r="F20" i="3"/>
  <c r="D20" i="3"/>
  <c r="O19" i="3"/>
  <c r="L19" i="3"/>
  <c r="I19" i="3"/>
  <c r="F19" i="3"/>
  <c r="D19" i="3"/>
  <c r="O18" i="3"/>
  <c r="L18" i="3"/>
  <c r="I18" i="3"/>
  <c r="F18" i="3"/>
  <c r="D18" i="3"/>
  <c r="O17" i="3"/>
  <c r="L17" i="3"/>
  <c r="I17" i="3"/>
  <c r="F17" i="3"/>
  <c r="D17" i="3"/>
  <c r="O16" i="3"/>
  <c r="L16" i="3"/>
  <c r="I16" i="3"/>
  <c r="F16" i="3"/>
  <c r="D16" i="3"/>
  <c r="O15" i="3"/>
  <c r="L15" i="3"/>
  <c r="I15" i="3"/>
  <c r="F15" i="3"/>
  <c r="D15" i="3"/>
  <c r="O14" i="3"/>
  <c r="L14" i="3"/>
  <c r="I14" i="3"/>
  <c r="F14" i="3"/>
  <c r="D14" i="3"/>
  <c r="O13" i="3"/>
  <c r="L13" i="3"/>
  <c r="I13" i="3"/>
  <c r="F13" i="3"/>
  <c r="D13" i="3"/>
  <c r="O12" i="3"/>
  <c r="L12" i="3"/>
  <c r="I12" i="3"/>
  <c r="F12" i="3"/>
  <c r="D12" i="3"/>
  <c r="O11" i="3"/>
  <c r="L11" i="3"/>
  <c r="I11" i="3"/>
  <c r="F11" i="3"/>
  <c r="D11" i="3"/>
  <c r="O10" i="3"/>
  <c r="L10" i="3"/>
  <c r="I10" i="3"/>
  <c r="F10" i="3"/>
  <c r="D10" i="3"/>
  <c r="O9" i="3"/>
  <c r="L9" i="3"/>
  <c r="I9" i="3"/>
  <c r="F9" i="3"/>
  <c r="D9" i="3"/>
  <c r="O8" i="3"/>
  <c r="L8" i="3"/>
  <c r="I8" i="3"/>
  <c r="F8" i="3"/>
  <c r="D8" i="3"/>
  <c r="O7" i="3"/>
  <c r="L7" i="3"/>
  <c r="I7" i="3"/>
  <c r="F7" i="3"/>
  <c r="D7" i="3"/>
  <c r="O6" i="3"/>
  <c r="L6" i="3"/>
  <c r="I6" i="3"/>
  <c r="F6" i="3"/>
  <c r="D6" i="3"/>
  <c r="O5" i="3"/>
  <c r="L5" i="3"/>
  <c r="I5" i="3"/>
  <c r="F5" i="3"/>
  <c r="D5" i="3"/>
  <c r="O4" i="3"/>
  <c r="L4" i="3"/>
  <c r="I4" i="3"/>
  <c r="F4" i="3"/>
  <c r="D4" i="3"/>
  <c r="O3" i="3"/>
  <c r="L3" i="3"/>
  <c r="I3" i="3"/>
  <c r="F3" i="3"/>
  <c r="D3" i="3"/>
  <c r="O2" i="3"/>
  <c r="L2" i="3"/>
  <c r="I2" i="3"/>
  <c r="F2" i="3"/>
  <c r="D2" i="3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2" i="2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2" i="1"/>
  <c r="O91" i="1"/>
  <c r="O92" i="1"/>
  <c r="O93" i="1"/>
  <c r="O94" i="1"/>
  <c r="O95" i="1"/>
  <c r="O96" i="1"/>
  <c r="L91" i="1"/>
  <c r="L92" i="1"/>
  <c r="L93" i="1"/>
  <c r="L94" i="1"/>
  <c r="L95" i="1"/>
  <c r="L96" i="1"/>
  <c r="I91" i="1"/>
  <c r="I92" i="1"/>
  <c r="I93" i="1"/>
  <c r="I94" i="1"/>
  <c r="I95" i="1"/>
  <c r="I96" i="1"/>
  <c r="F91" i="1"/>
  <c r="F92" i="1"/>
  <c r="F93" i="1"/>
  <c r="F94" i="1"/>
  <c r="F95" i="1"/>
  <c r="F96" i="1"/>
  <c r="D91" i="1"/>
  <c r="D92" i="1"/>
  <c r="D93" i="1"/>
  <c r="D94" i="1"/>
  <c r="D95" i="1"/>
  <c r="D96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2" i="1"/>
</calcChain>
</file>

<file path=xl/sharedStrings.xml><?xml version="1.0" encoding="utf-8"?>
<sst xmlns="http://schemas.openxmlformats.org/spreadsheetml/2006/main" count="129" uniqueCount="56">
  <si>
    <t>3*3</t>
  </si>
  <si>
    <t>3*5</t>
  </si>
  <si>
    <t>5*5</t>
  </si>
  <si>
    <t>3*3*3</t>
  </si>
  <si>
    <t>3*11</t>
  </si>
  <si>
    <t>3*7</t>
  </si>
  <si>
    <t>7*7</t>
  </si>
  <si>
    <t>3*3*5</t>
  </si>
  <si>
    <t>5*7</t>
  </si>
  <si>
    <t>5*11</t>
  </si>
  <si>
    <t>3*13</t>
  </si>
  <si>
    <t>3*19</t>
  </si>
  <si>
    <t>3*3*7</t>
  </si>
  <si>
    <t>3*23</t>
  </si>
  <si>
    <t>3*5*5</t>
  </si>
  <si>
    <t>3*3*3*3</t>
  </si>
  <si>
    <t>3*29</t>
  </si>
  <si>
    <t>3*17</t>
  </si>
  <si>
    <t>5*13</t>
  </si>
  <si>
    <t>5*17</t>
  </si>
  <si>
    <t>3*31</t>
  </si>
  <si>
    <t>5*19</t>
  </si>
  <si>
    <t>7*3</t>
  </si>
  <si>
    <t>7*5</t>
  </si>
  <si>
    <t>9*9</t>
  </si>
  <si>
    <t>7*9</t>
  </si>
  <si>
    <t>7*11</t>
  </si>
  <si>
    <t>7*13</t>
  </si>
  <si>
    <t>11*3</t>
  </si>
  <si>
    <t>11*5</t>
  </si>
  <si>
    <t>11*7</t>
  </si>
  <si>
    <t>13*3</t>
  </si>
  <si>
    <t>13*5</t>
  </si>
  <si>
    <t>13*7</t>
  </si>
  <si>
    <t>9*3</t>
  </si>
  <si>
    <t>9*5</t>
  </si>
  <si>
    <t>9*7</t>
  </si>
  <si>
    <t>"A"</t>
  </si>
  <si>
    <t>A/3</t>
  </si>
  <si>
    <t>A/7</t>
  </si>
  <si>
    <t>A/5</t>
  </si>
  <si>
    <t>A/11</t>
  </si>
  <si>
    <t>A/13</t>
  </si>
  <si>
    <t>A/9</t>
  </si>
  <si>
    <t>A/15</t>
  </si>
  <si>
    <t>A/21</t>
  </si>
  <si>
    <t>A/25</t>
  </si>
  <si>
    <t>A/17</t>
  </si>
  <si>
    <t>17*3</t>
  </si>
  <si>
    <t>A/19</t>
  </si>
  <si>
    <t>19*3</t>
  </si>
  <si>
    <t>15*3</t>
  </si>
  <si>
    <t>21*3</t>
  </si>
  <si>
    <t>25*3</t>
  </si>
  <si>
    <t>17*5</t>
  </si>
  <si>
    <t>19*5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</si>
</sst>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10" borderId="0" xfId="0" applyFont="1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" Type="http://schemas.openxmlformats.org/officeDocument/2006/relationships/customXml" Target="../ink/ink10.xml"/><Relationship Id="rId11" Type="http://schemas.openxmlformats.org/officeDocument/2006/relationships/customXml" Target="../ink/ink13.xml"/><Relationship Id="rId10" Type="http://schemas.openxmlformats.org/officeDocument/2006/relationships/customXml" Target="../ink/ink12.xml"/><Relationship Id="rId9" Type="http://schemas.openxmlformats.org/officeDocument/2006/relationships/customXml" Target="../ink/ink11.xml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7.png"/><Relationship Id="rId21" Type="http://schemas.openxmlformats.org/officeDocument/2006/relationships/customXml" Target="../ink/ink21.xml"/><Relationship Id="rId42" Type="http://schemas.openxmlformats.org/officeDocument/2006/relationships/image" Target="../media/image25.png"/><Relationship Id="rId47" Type="http://schemas.openxmlformats.org/officeDocument/2006/relationships/customXml" Target="../ink/ink34.xml"/><Relationship Id="rId63" Type="http://schemas.openxmlformats.org/officeDocument/2006/relationships/customXml" Target="../ink/ink42.xml"/><Relationship Id="rId68" Type="http://schemas.openxmlformats.org/officeDocument/2006/relationships/customXml" Target="../ink/ink45.xml"/><Relationship Id="rId71" Type="http://schemas.openxmlformats.org/officeDocument/2006/relationships/image" Target="../media/image39.png"/><Relationship Id="rId16" Type="http://schemas.openxmlformats.org/officeDocument/2006/relationships/image" Target="../media/image12.png"/><Relationship Id="rId29" Type="http://schemas.openxmlformats.org/officeDocument/2006/relationships/customXml" Target="../ink/ink25.xml"/><Relationship Id="rId11" Type="http://schemas.openxmlformats.org/officeDocument/2006/relationships/customXml" Target="../ink/ink16.xml"/><Relationship Id="rId24" Type="http://schemas.openxmlformats.org/officeDocument/2006/relationships/image" Target="../media/image16.png"/><Relationship Id="rId32" Type="http://schemas.openxmlformats.org/officeDocument/2006/relationships/image" Target="../media/image20.png"/><Relationship Id="rId37" Type="http://schemas.openxmlformats.org/officeDocument/2006/relationships/customXml" Target="../ink/ink29.xml"/><Relationship Id="rId40" Type="http://schemas.openxmlformats.org/officeDocument/2006/relationships/image" Target="../media/image24.png"/><Relationship Id="rId45" Type="http://schemas.openxmlformats.org/officeDocument/2006/relationships/customXml" Target="../ink/ink33.xml"/><Relationship Id="rId53" Type="http://schemas.openxmlformats.org/officeDocument/2006/relationships/customXml" Target="../ink/ink37.xml"/><Relationship Id="rId58" Type="http://schemas.openxmlformats.org/officeDocument/2006/relationships/image" Target="../media/image33.png"/><Relationship Id="rId66" Type="http://schemas.openxmlformats.org/officeDocument/2006/relationships/customXml" Target="../ink/ink44.xml"/><Relationship Id="rId74" Type="http://schemas.openxmlformats.org/officeDocument/2006/relationships/customXml" Target="../ink/ink48.xml"/><Relationship Id="rId61" Type="http://schemas.openxmlformats.org/officeDocument/2006/relationships/customXml" Target="../ink/ink41.xml"/><Relationship Id="rId19" Type="http://schemas.openxmlformats.org/officeDocument/2006/relationships/customXml" Target="../ink/ink20.xml"/><Relationship Id="rId14" Type="http://schemas.openxmlformats.org/officeDocument/2006/relationships/image" Target="../media/image11.png"/><Relationship Id="rId22" Type="http://schemas.openxmlformats.org/officeDocument/2006/relationships/image" Target="../media/image15.png"/><Relationship Id="rId27" Type="http://schemas.openxmlformats.org/officeDocument/2006/relationships/customXml" Target="../ink/ink24.xml"/><Relationship Id="rId30" Type="http://schemas.openxmlformats.org/officeDocument/2006/relationships/image" Target="../media/image19.png"/><Relationship Id="rId35" Type="http://schemas.openxmlformats.org/officeDocument/2006/relationships/customXml" Target="../ink/ink28.xml"/><Relationship Id="rId43" Type="http://schemas.openxmlformats.org/officeDocument/2006/relationships/customXml" Target="../ink/ink32.xml"/><Relationship Id="rId48" Type="http://schemas.openxmlformats.org/officeDocument/2006/relationships/image" Target="../media/image28.png"/><Relationship Id="rId56" Type="http://schemas.openxmlformats.org/officeDocument/2006/relationships/image" Target="../media/image32.png"/><Relationship Id="rId64" Type="http://schemas.openxmlformats.org/officeDocument/2006/relationships/image" Target="../media/image36.png"/><Relationship Id="rId69" Type="http://schemas.openxmlformats.org/officeDocument/2006/relationships/image" Target="../media/image38.png"/><Relationship Id="rId8" Type="http://schemas.openxmlformats.org/officeDocument/2006/relationships/image" Target="../media/image4.png"/><Relationship Id="rId51" Type="http://schemas.openxmlformats.org/officeDocument/2006/relationships/customXml" Target="../ink/ink36.xml"/><Relationship Id="rId72" Type="http://schemas.openxmlformats.org/officeDocument/2006/relationships/customXml" Target="../ink/ink47.xml"/><Relationship Id="rId12" Type="http://schemas.openxmlformats.org/officeDocument/2006/relationships/image" Target="../media/image10.png"/><Relationship Id="rId17" Type="http://schemas.openxmlformats.org/officeDocument/2006/relationships/customXml" Target="../ink/ink19.xml"/><Relationship Id="rId25" Type="http://schemas.openxmlformats.org/officeDocument/2006/relationships/customXml" Target="../ink/ink23.xml"/><Relationship Id="rId33" Type="http://schemas.openxmlformats.org/officeDocument/2006/relationships/customXml" Target="../ink/ink27.xml"/><Relationship Id="rId38" Type="http://schemas.openxmlformats.org/officeDocument/2006/relationships/image" Target="../media/image23.png"/><Relationship Id="rId46" Type="http://schemas.openxmlformats.org/officeDocument/2006/relationships/image" Target="../media/image27.png"/><Relationship Id="rId59" Type="http://schemas.openxmlformats.org/officeDocument/2006/relationships/customXml" Target="../ink/ink40.xml"/><Relationship Id="rId67" Type="http://schemas.openxmlformats.org/officeDocument/2006/relationships/image" Target="../media/image37.png"/><Relationship Id="rId20" Type="http://schemas.openxmlformats.org/officeDocument/2006/relationships/image" Target="../media/image14.png"/><Relationship Id="rId41" Type="http://schemas.openxmlformats.org/officeDocument/2006/relationships/customXml" Target="../ink/ink31.xml"/><Relationship Id="rId54" Type="http://schemas.openxmlformats.org/officeDocument/2006/relationships/image" Target="../media/image31.png"/><Relationship Id="rId62" Type="http://schemas.openxmlformats.org/officeDocument/2006/relationships/image" Target="../media/image35.png"/><Relationship Id="rId70" Type="http://schemas.openxmlformats.org/officeDocument/2006/relationships/customXml" Target="../ink/ink46.xml"/><Relationship Id="rId75" Type="http://schemas.openxmlformats.org/officeDocument/2006/relationships/image" Target="../media/image41.png"/><Relationship Id="rId1" Type="http://schemas.openxmlformats.org/officeDocument/2006/relationships/customXml" Target="../ink/ink14.xml"/><Relationship Id="rId15" Type="http://schemas.openxmlformats.org/officeDocument/2006/relationships/customXml" Target="../ink/ink18.xml"/><Relationship Id="rId23" Type="http://schemas.openxmlformats.org/officeDocument/2006/relationships/customXml" Target="../ink/ink22.xml"/><Relationship Id="rId28" Type="http://schemas.openxmlformats.org/officeDocument/2006/relationships/image" Target="../media/image18.png"/><Relationship Id="rId36" Type="http://schemas.openxmlformats.org/officeDocument/2006/relationships/image" Target="../media/image22.png"/><Relationship Id="rId49" Type="http://schemas.openxmlformats.org/officeDocument/2006/relationships/customXml" Target="../ink/ink35.xml"/><Relationship Id="rId57" Type="http://schemas.openxmlformats.org/officeDocument/2006/relationships/customXml" Target="../ink/ink39.xml"/><Relationship Id="rId10" Type="http://schemas.openxmlformats.org/officeDocument/2006/relationships/image" Target="../media/image5.png"/><Relationship Id="rId31" Type="http://schemas.openxmlformats.org/officeDocument/2006/relationships/customXml" Target="../ink/ink26.xml"/><Relationship Id="rId44" Type="http://schemas.openxmlformats.org/officeDocument/2006/relationships/image" Target="../media/image26.png"/><Relationship Id="rId52" Type="http://schemas.openxmlformats.org/officeDocument/2006/relationships/image" Target="../media/image30.png"/><Relationship Id="rId60" Type="http://schemas.openxmlformats.org/officeDocument/2006/relationships/image" Target="../media/image34.png"/><Relationship Id="rId65" Type="http://schemas.openxmlformats.org/officeDocument/2006/relationships/customXml" Target="../ink/ink43.xml"/><Relationship Id="rId73" Type="http://schemas.openxmlformats.org/officeDocument/2006/relationships/image" Target="../media/image40.png"/><Relationship Id="rId9" Type="http://schemas.openxmlformats.org/officeDocument/2006/relationships/customXml" Target="../ink/ink15.xml"/><Relationship Id="rId13" Type="http://schemas.openxmlformats.org/officeDocument/2006/relationships/customXml" Target="../ink/ink17.xml"/><Relationship Id="rId18" Type="http://schemas.openxmlformats.org/officeDocument/2006/relationships/image" Target="../media/image13.png"/><Relationship Id="rId39" Type="http://schemas.openxmlformats.org/officeDocument/2006/relationships/customXml" Target="../ink/ink30.xml"/><Relationship Id="rId34" Type="http://schemas.openxmlformats.org/officeDocument/2006/relationships/image" Target="../media/image21.png"/><Relationship Id="rId50" Type="http://schemas.openxmlformats.org/officeDocument/2006/relationships/image" Target="../media/image29.png"/><Relationship Id="rId55" Type="http://schemas.openxmlformats.org/officeDocument/2006/relationships/customXml" Target="../ink/ink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231720</xdr:colOff>
      <xdr:row>9</xdr:row>
      <xdr:rowOff>94905</xdr:rowOff>
    </xdr:from>
    <xdr:to>
      <xdr:col>20</xdr:col>
      <xdr:colOff>472515</xdr:colOff>
      <xdr:row>15</xdr:row>
      <xdr:rowOff>95895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117059F-C660-3FF5-D37D-F22AC25F5505}"/>
                </a:ext>
              </a:extLst>
            </xdr14:cNvPr>
            <xdr14:cNvContentPartPr/>
          </xdr14:nvContentPartPr>
          <xdr14:nvPr macro=""/>
          <xdr14:xfrm>
            <a:off x="11814120" y="1723680"/>
            <a:ext cx="235080" cy="10868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7117059F-C660-3FF5-D37D-F22AC25F550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808000" y="1717560"/>
              <a:ext cx="247320" cy="109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135240</xdr:colOff>
      <xdr:row>15</xdr:row>
      <xdr:rowOff>161775</xdr:rowOff>
    </xdr:from>
    <xdr:to>
      <xdr:col>20</xdr:col>
      <xdr:colOff>514800</xdr:colOff>
      <xdr:row>22</xdr:row>
      <xdr:rowOff>19710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E07FC7E-0249-3F0E-C057-A31F80134568}"/>
                </a:ext>
              </a:extLst>
            </xdr14:cNvPr>
            <xdr14:cNvContentPartPr/>
          </xdr14:nvContentPartPr>
          <xdr14:nvPr macro=""/>
          <xdr14:xfrm>
            <a:off x="11717640" y="2876400"/>
            <a:ext cx="364320" cy="11095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E07FC7E-0249-3F0E-C057-A31F8013456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711825" y="2870355"/>
              <a:ext cx="375951" cy="11216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201480</xdr:colOff>
      <xdr:row>22</xdr:row>
      <xdr:rowOff>9510</xdr:rowOff>
    </xdr:from>
    <xdr:to>
      <xdr:col>20</xdr:col>
      <xdr:colOff>441240</xdr:colOff>
      <xdr:row>27</xdr:row>
      <xdr:rowOff>136395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91A756F8-DEAF-3EB6-26F6-21B0893E7D10}"/>
                </a:ext>
              </a:extLst>
            </xdr14:cNvPr>
            <xdr14:cNvContentPartPr/>
          </xdr14:nvContentPartPr>
          <xdr14:nvPr macro=""/>
          <xdr14:xfrm>
            <a:off x="11783880" y="3990960"/>
            <a:ext cx="239760" cy="10317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91A756F8-DEAF-3EB6-26F6-21B0893E7D1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1777760" y="3984840"/>
              <a:ext cx="252000" cy="10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59640</xdr:colOff>
      <xdr:row>9</xdr:row>
      <xdr:rowOff>94905</xdr:rowOff>
    </xdr:from>
    <xdr:to>
      <xdr:col>16</xdr:col>
      <xdr:colOff>400680</xdr:colOff>
      <xdr:row>27</xdr:row>
      <xdr:rowOff>136080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EE5C478E-F93F-C945-7579-3154A511F81E}"/>
                </a:ext>
              </a:extLst>
            </xdr14:cNvPr>
            <xdr14:cNvContentPartPr/>
          </xdr14:nvContentPartPr>
          <xdr14:nvPr macro=""/>
          <xdr14:xfrm>
            <a:off x="9813240" y="1723680"/>
            <a:ext cx="325800" cy="33044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EE5C478E-F93F-C945-7579-3154A511F81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807459" y="1717543"/>
              <a:ext cx="337363" cy="33167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390240</xdr:colOff>
      <xdr:row>6</xdr:row>
      <xdr:rowOff>161910</xdr:rowOff>
    </xdr:from>
    <xdr:to>
      <xdr:col>15</xdr:col>
      <xdr:colOff>392505</xdr:colOff>
      <xdr:row>6</xdr:row>
      <xdr:rowOff>164175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533F08E2-027A-F33E-4BE0-74D157C9976B}"/>
                </a:ext>
              </a:extLst>
            </xdr14:cNvPr>
            <xdr14:cNvContentPartPr/>
          </xdr14:nvContentPartPr>
          <xdr14:nvPr macro=""/>
          <xdr14:xfrm>
            <a:off x="9534240" y="124776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533F08E2-027A-F33E-4BE0-74D157C9976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9528120" y="12416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16</xdr:col>
      <xdr:colOff>196215</xdr:colOff>
      <xdr:row>4</xdr:row>
      <xdr:rowOff>155257</xdr:rowOff>
    </xdr:from>
    <xdr:to>
      <xdr:col>17</xdr:col>
      <xdr:colOff>501015</xdr:colOff>
      <xdr:row>8</xdr:row>
      <xdr:rowOff>133350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79F6F0F-4E72-695D-1C54-3904060D8295}"/>
            </a:ext>
          </a:extLst>
        </xdr:cNvPr>
        <xdr:cNvSpPr txBox="1"/>
      </xdr:nvSpPr>
      <xdr:spPr>
        <a:xfrm>
          <a:off x="9949815" y="879157"/>
          <a:ext cx="914400" cy="7019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rgbClr val="7030A0"/>
              </a:solidFill>
            </a:rPr>
            <a:t>Odd Segment</a:t>
          </a:r>
        </a:p>
      </xdr:txBody>
    </xdr:sp>
    <xdr:clientData/>
  </xdr:twoCellAnchor>
  <xdr:twoCellAnchor>
    <xdr:from>
      <xdr:col>19</xdr:col>
      <xdr:colOff>234315</xdr:colOff>
      <xdr:row>4</xdr:row>
      <xdr:rowOff>110490</xdr:rowOff>
    </xdr:from>
    <xdr:to>
      <xdr:col>20</xdr:col>
      <xdr:colOff>539115</xdr:colOff>
      <xdr:row>8</xdr:row>
      <xdr:rowOff>86678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729EC80-AC34-4CEF-8909-AF6CB08F0F05}"/>
            </a:ext>
          </a:extLst>
        </xdr:cNvPr>
        <xdr:cNvSpPr txBox="1"/>
      </xdr:nvSpPr>
      <xdr:spPr>
        <a:xfrm>
          <a:off x="11816715" y="834390"/>
          <a:ext cx="914400" cy="7000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rgbClr val="FF0000"/>
              </a:solidFill>
            </a:rPr>
            <a:t>Prime Segment</a:t>
          </a:r>
        </a:p>
      </xdr:txBody>
    </xdr:sp>
    <xdr:clientData/>
  </xdr:twoCellAnchor>
  <xdr:twoCellAnchor editAs="oneCell">
    <xdr:from>
      <xdr:col>23</xdr:col>
      <xdr:colOff>114240</xdr:colOff>
      <xdr:row>0</xdr:row>
      <xdr:rowOff>133200</xdr:rowOff>
    </xdr:from>
    <xdr:to>
      <xdr:col>23</xdr:col>
      <xdr:colOff>350040</xdr:colOff>
      <xdr:row>3</xdr:row>
      <xdr:rowOff>96795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8B30B38-00A0-7D1D-8B8A-C604DC5B3B29}"/>
                </a:ext>
              </a:extLst>
            </xdr14:cNvPr>
            <xdr14:cNvContentPartPr/>
          </xdr14:nvContentPartPr>
          <xdr14:nvPr macro=""/>
          <xdr14:xfrm>
            <a:off x="14135040" y="133200"/>
            <a:ext cx="235800" cy="5065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98B30B38-00A0-7D1D-8B8A-C604DC5B3B29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4128920" y="127080"/>
              <a:ext cx="248040" cy="5187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23</xdr:col>
      <xdr:colOff>586740</xdr:colOff>
      <xdr:row>0</xdr:row>
      <xdr:rowOff>167640</xdr:rowOff>
    </xdr:from>
    <xdr:to>
      <xdr:col>25</xdr:col>
      <xdr:colOff>34290</xdr:colOff>
      <xdr:row>2</xdr:row>
      <xdr:rowOff>144780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D60F18B-8CFD-4327-B68E-D815771FE8A8}"/>
            </a:ext>
          </a:extLst>
        </xdr:cNvPr>
        <xdr:cNvSpPr txBox="1"/>
      </xdr:nvSpPr>
      <xdr:spPr>
        <a:xfrm>
          <a:off x="14607540" y="167640"/>
          <a:ext cx="666750" cy="3390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rgbClr val="FF0000"/>
              </a:solidFill>
            </a:rPr>
            <a:t>N-1</a:t>
          </a:r>
        </a:p>
      </xdr:txBody>
    </xdr:sp>
    <xdr:clientData/>
  </xdr:twoCellAnchor>
  <xdr:twoCellAnchor editAs="oneCell">
    <xdr:from>
      <xdr:col>23</xdr:col>
      <xdr:colOff>235920</xdr:colOff>
      <xdr:row>3</xdr:row>
      <xdr:rowOff>152235</xdr:rowOff>
    </xdr:from>
    <xdr:to>
      <xdr:col>23</xdr:col>
      <xdr:colOff>426000</xdr:colOff>
      <xdr:row>8</xdr:row>
      <xdr:rowOff>153120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A1159197-85F7-6AF5-032C-F9D1B8F9A263}"/>
                </a:ext>
              </a:extLst>
            </xdr14:cNvPr>
            <xdr14:cNvContentPartPr/>
          </xdr14:nvContentPartPr>
          <xdr14:nvPr macro=""/>
          <xdr14:xfrm>
            <a:off x="14256720" y="695160"/>
            <a:ext cx="190080" cy="9057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A1159197-85F7-6AF5-032C-F9D1B8F9A263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4250600" y="689040"/>
              <a:ext cx="202320" cy="9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23</xdr:col>
      <xdr:colOff>609599</xdr:colOff>
      <xdr:row>4</xdr:row>
      <xdr:rowOff>38100</xdr:rowOff>
    </xdr:from>
    <xdr:to>
      <xdr:col>25</xdr:col>
      <xdr:colOff>331469</xdr:colOff>
      <xdr:row>6</xdr:row>
      <xdr:rowOff>19050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BFBC33A3-BD18-4DB0-B913-EAF6DE52FEB4}"/>
            </a:ext>
          </a:extLst>
        </xdr:cNvPr>
        <xdr:cNvSpPr txBox="1"/>
      </xdr:nvSpPr>
      <xdr:spPr>
        <a:xfrm>
          <a:off x="14630399" y="762000"/>
          <a:ext cx="941070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rgbClr val="FF0000"/>
              </a:solidFill>
            </a:rPr>
            <a:t>2*N-1</a:t>
          </a:r>
        </a:p>
      </xdr:txBody>
    </xdr:sp>
    <xdr:clientData/>
  </xdr:twoCellAnchor>
  <xdr:twoCellAnchor editAs="oneCell">
    <xdr:from>
      <xdr:col>6</xdr:col>
      <xdr:colOff>248760</xdr:colOff>
      <xdr:row>7</xdr:row>
      <xdr:rowOff>83535</xdr:rowOff>
    </xdr:from>
    <xdr:to>
      <xdr:col>6</xdr:col>
      <xdr:colOff>514440</xdr:colOff>
      <xdr:row>21</xdr:row>
      <xdr:rowOff>165285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432BBE46-41F2-CD3D-9D2C-316E36580647}"/>
                </a:ext>
              </a:extLst>
            </xdr14:cNvPr>
            <xdr14:cNvContentPartPr/>
          </xdr14:nvContentPartPr>
          <xdr14:nvPr macro=""/>
          <xdr14:xfrm>
            <a:off x="3906360" y="1350360"/>
            <a:ext cx="265680" cy="261540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432BBE46-41F2-CD3D-9D2C-316E36580647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900240" y="1344240"/>
              <a:ext cx="277920" cy="26276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</xdr:col>
      <xdr:colOff>161925</xdr:colOff>
      <xdr:row>4</xdr:row>
      <xdr:rowOff>0</xdr:rowOff>
    </xdr:from>
    <xdr:to>
      <xdr:col>7</xdr:col>
      <xdr:colOff>485775</xdr:colOff>
      <xdr:row>5</xdr:row>
      <xdr:rowOff>160020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8DB5B6A-A0ED-4CB6-8DFC-3F7247204657}"/>
            </a:ext>
          </a:extLst>
        </xdr:cNvPr>
        <xdr:cNvSpPr txBox="1"/>
      </xdr:nvSpPr>
      <xdr:spPr>
        <a:xfrm>
          <a:off x="3819525" y="723900"/>
          <a:ext cx="933450" cy="3409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accent2"/>
              </a:solidFill>
            </a:rPr>
            <a:t>2*N-1</a:t>
          </a:r>
        </a:p>
      </xdr:txBody>
    </xdr:sp>
    <xdr:clientData/>
  </xdr:twoCellAnchor>
  <xdr:twoCellAnchor editAs="oneCell">
    <xdr:from>
      <xdr:col>9</xdr:col>
      <xdr:colOff>284760</xdr:colOff>
      <xdr:row>1</xdr:row>
      <xdr:rowOff>76425</xdr:rowOff>
    </xdr:from>
    <xdr:to>
      <xdr:col>9</xdr:col>
      <xdr:colOff>495720</xdr:colOff>
      <xdr:row>11</xdr:row>
      <xdr:rowOff>60195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6269F51E-6888-1DC5-A318-5B200946AC9E}"/>
                </a:ext>
              </a:extLst>
            </xdr14:cNvPr>
            <xdr14:cNvContentPartPr/>
          </xdr14:nvContentPartPr>
          <xdr14:nvPr macro=""/>
          <xdr14:xfrm>
            <a:off x="5771160" y="257400"/>
            <a:ext cx="210960" cy="17935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6269F51E-6888-1DC5-A318-5B200946AC9E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5765040" y="251280"/>
              <a:ext cx="223200" cy="18057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10</xdr:col>
      <xdr:colOff>0</xdr:colOff>
      <xdr:row>3</xdr:row>
      <xdr:rowOff>0</xdr:rowOff>
    </xdr:from>
    <xdr:to>
      <xdr:col>11</xdr:col>
      <xdr:colOff>53340</xdr:colOff>
      <xdr:row>4</xdr:row>
      <xdr:rowOff>152400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52999355-1BEF-4A0E-B69B-AE627C8E7C5D}"/>
            </a:ext>
          </a:extLst>
        </xdr:cNvPr>
        <xdr:cNvSpPr txBox="1"/>
      </xdr:nvSpPr>
      <xdr:spPr>
        <a:xfrm>
          <a:off x="6096000" y="542925"/>
          <a:ext cx="662940" cy="333375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tx2">
                  <a:lumMod val="50000"/>
                  <a:lumOff val="50000"/>
                </a:schemeClr>
              </a:solidFill>
            </a:rPr>
            <a:t>N-1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59640</xdr:colOff>
      <xdr:row>9</xdr:row>
      <xdr:rowOff>94905</xdr:rowOff>
    </xdr:from>
    <xdr:to>
      <xdr:col>3</xdr:col>
      <xdr:colOff>400680</xdr:colOff>
      <xdr:row>27</xdr:row>
      <xdr:rowOff>136080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4EB9FA2-5338-4C39-90BD-A953417312E8}"/>
                </a:ext>
              </a:extLst>
            </xdr14:cNvPr>
            <xdr14:cNvContentPartPr/>
          </xdr14:nvContentPartPr>
          <xdr14:nvPr macro=""/>
          <xdr14:xfrm>
            <a:off x="9813240" y="1723680"/>
            <a:ext cx="325800" cy="33044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EE5C478E-F93F-C945-7579-3154A511F81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807459" y="1717543"/>
              <a:ext cx="337363" cy="3316715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3</xdr:col>
      <xdr:colOff>196215</xdr:colOff>
      <xdr:row>4</xdr:row>
      <xdr:rowOff>155257</xdr:rowOff>
    </xdr:from>
    <xdr:to>
      <xdr:col>4</xdr:col>
      <xdr:colOff>501015</xdr:colOff>
      <xdr:row>8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67014B8-33A0-46F5-B5E1-81C2C62D4CC3}"/>
            </a:ext>
          </a:extLst>
        </xdr:cNvPr>
        <xdr:cNvSpPr txBox="1"/>
      </xdr:nvSpPr>
      <xdr:spPr>
        <a:xfrm>
          <a:off x="9951720" y="879157"/>
          <a:ext cx="914400" cy="6981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rgbClr val="7030A0"/>
              </a:solidFill>
            </a:rPr>
            <a:t>Odd Segment</a:t>
          </a:r>
        </a:p>
      </xdr:txBody>
    </xdr:sp>
    <xdr:clientData/>
  </xdr:twoCellAnchor>
  <xdr:oneCellAnchor>
    <xdr:from>
      <xdr:col>6</xdr:col>
      <xdr:colOff>266700</xdr:colOff>
      <xdr:row>15</xdr:row>
      <xdr:rowOff>60615</xdr:rowOff>
    </xdr:from>
    <xdr:ext cx="341040" cy="5454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827A8FC4-360D-43A3-9348-6E3DD5E4B5AE}"/>
                </a:ext>
              </a:extLst>
            </xdr14:cNvPr>
            <xdr14:cNvContentPartPr/>
          </xdr14:nvContentPartPr>
          <xdr14:nvPr macro=""/>
          <xdr14:xfrm>
            <a:off x="3924300" y="2775240"/>
            <a:ext cx="341040" cy="5454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EE5C478E-F93F-C945-7579-3154A511F81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807459" y="1717543"/>
              <a:ext cx="337363" cy="331671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9</xdr:col>
      <xdr:colOff>548640</xdr:colOff>
      <xdr:row>21</xdr:row>
      <xdr:rowOff>64425</xdr:rowOff>
    </xdr:from>
    <xdr:ext cx="341040" cy="762225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177A0A06-6920-4A3D-A1CC-360B1E6B0A2E}"/>
                </a:ext>
              </a:extLst>
            </xdr14:cNvPr>
            <xdr14:cNvContentPartPr/>
          </xdr14:nvContentPartPr>
          <xdr14:nvPr macro=""/>
          <xdr14:xfrm>
            <a:off x="6035040" y="3864900"/>
            <a:ext cx="341040" cy="762225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EE5C478E-F93F-C945-7579-3154A511F81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807459" y="1717543"/>
              <a:ext cx="337363" cy="3316715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13</xdr:col>
      <xdr:colOff>571500</xdr:colOff>
      <xdr:row>25</xdr:row>
      <xdr:rowOff>94905</xdr:rowOff>
    </xdr:from>
    <xdr:ext cx="341040" cy="907767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FA6463EC-F702-4BDD-B982-DD6F2086E36D}"/>
                </a:ext>
              </a:extLst>
            </xdr14:cNvPr>
            <xdr14:cNvContentPartPr/>
          </xdr14:nvContentPartPr>
          <xdr14:nvPr macro=""/>
          <xdr14:xfrm>
            <a:off x="8496300" y="4619280"/>
            <a:ext cx="341040" cy="907767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EE5C478E-F93F-C945-7579-3154A511F81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807459" y="1717543"/>
              <a:ext cx="337363" cy="3316715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102820</xdr:colOff>
      <xdr:row>1</xdr:row>
      <xdr:rowOff>38100</xdr:rowOff>
    </xdr:from>
    <xdr:to>
      <xdr:col>16</xdr:col>
      <xdr:colOff>438145</xdr:colOff>
      <xdr:row>16</xdr:row>
      <xdr:rowOff>172720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CC95EE17-0B0C-41E4-9B4F-B04DF1DE2DE6}"/>
                </a:ext>
              </a:extLst>
            </xdr14:cNvPr>
            <xdr14:cNvContentPartPr/>
          </xdr14:nvContentPartPr>
          <xdr14:nvPr macro=""/>
          <xdr14:xfrm>
            <a:off x="9856420" y="215900"/>
            <a:ext cx="344850" cy="279781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EE5C478E-F93F-C945-7579-3154A511F81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9807459" y="1717543"/>
              <a:ext cx="337363" cy="33167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390240</xdr:colOff>
      <xdr:row>6</xdr:row>
      <xdr:rowOff>161910</xdr:rowOff>
    </xdr:from>
    <xdr:to>
      <xdr:col>15</xdr:col>
      <xdr:colOff>400125</xdr:colOff>
      <xdr:row>6</xdr:row>
      <xdr:rowOff>171795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FB351C9F-6225-4A3F-988B-698AA75FA857}"/>
                </a:ext>
              </a:extLst>
            </xdr14:cNvPr>
            <xdr14:cNvContentPartPr/>
          </xdr14:nvContentPartPr>
          <xdr14:nvPr macro=""/>
          <xdr14:xfrm>
            <a:off x="9534240" y="124776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533F08E2-027A-F33E-4BE0-74D157C9976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9528120" y="12416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15</xdr:col>
      <xdr:colOff>508000</xdr:colOff>
      <xdr:row>2</xdr:row>
      <xdr:rowOff>79057</xdr:rowOff>
    </xdr:from>
    <xdr:to>
      <xdr:col>17</xdr:col>
      <xdr:colOff>299720</xdr:colOff>
      <xdr:row>6</xdr:row>
      <xdr:rowOff>47625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0D1E420-E376-4320-B530-F804B267EDA1}"/>
            </a:ext>
          </a:extLst>
        </xdr:cNvPr>
        <xdr:cNvSpPr txBox="1"/>
      </xdr:nvSpPr>
      <xdr:spPr>
        <a:xfrm>
          <a:off x="9652000" y="434657"/>
          <a:ext cx="1010920" cy="6797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rgbClr val="7030A0"/>
              </a:solidFill>
            </a:rPr>
            <a:t>Prime Segments</a:t>
          </a:r>
        </a:p>
      </xdr:txBody>
    </xdr:sp>
    <xdr:clientData/>
  </xdr:twoCellAnchor>
  <xdr:twoCellAnchor>
    <xdr:from>
      <xdr:col>6</xdr:col>
      <xdr:colOff>100330</xdr:colOff>
      <xdr:row>9</xdr:row>
      <xdr:rowOff>25400</xdr:rowOff>
    </xdr:from>
    <xdr:to>
      <xdr:col>7</xdr:col>
      <xdr:colOff>420370</xdr:colOff>
      <xdr:row>11</xdr:row>
      <xdr:rowOff>9525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5B118E4-AF5F-438A-BBC4-76D7F232F6EF}"/>
            </a:ext>
          </a:extLst>
        </xdr:cNvPr>
        <xdr:cNvSpPr txBox="1"/>
      </xdr:nvSpPr>
      <xdr:spPr>
        <a:xfrm>
          <a:off x="3757930" y="1625600"/>
          <a:ext cx="929640" cy="339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accent2"/>
              </a:solidFill>
            </a:rPr>
            <a:t>2*N-1</a:t>
          </a:r>
        </a:p>
      </xdr:txBody>
    </xdr:sp>
    <xdr:clientData/>
  </xdr:twoCellAnchor>
  <xdr:twoCellAnchor>
    <xdr:from>
      <xdr:col>16</xdr:col>
      <xdr:colOff>317500</xdr:colOff>
      <xdr:row>8</xdr:row>
      <xdr:rowOff>12700</xdr:rowOff>
    </xdr:from>
    <xdr:to>
      <xdr:col>17</xdr:col>
      <xdr:colOff>374650</xdr:colOff>
      <xdr:row>9</xdr:row>
      <xdr:rowOff>165100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A9A40628-A591-4900-89E3-BC424878B291}"/>
            </a:ext>
          </a:extLst>
        </xdr:cNvPr>
        <xdr:cNvSpPr txBox="1"/>
      </xdr:nvSpPr>
      <xdr:spPr>
        <a:xfrm>
          <a:off x="10071100" y="1435100"/>
          <a:ext cx="666750" cy="33020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solidFill>
                <a:schemeClr val="tx2">
                  <a:lumMod val="50000"/>
                  <a:lumOff val="50000"/>
                </a:schemeClr>
              </a:solidFill>
            </a:rPr>
            <a:t>N-1</a:t>
          </a:r>
        </a:p>
      </xdr:txBody>
    </xdr:sp>
    <xdr:clientData/>
  </xdr:twoCellAnchor>
  <xdr:twoCellAnchor editAs="oneCell">
    <xdr:from>
      <xdr:col>5</xdr:col>
      <xdr:colOff>199920</xdr:colOff>
      <xdr:row>14</xdr:row>
      <xdr:rowOff>104520</xdr:rowOff>
    </xdr:from>
    <xdr:to>
      <xdr:col>6</xdr:col>
      <xdr:colOff>548955</xdr:colOff>
      <xdr:row>20</xdr:row>
      <xdr:rowOff>19470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E68093B7-ADAC-9F91-875A-E28F934E5D80}"/>
                </a:ext>
              </a:extLst>
            </xdr14:cNvPr>
            <xdr14:cNvContentPartPr/>
          </xdr14:nvContentPartPr>
          <xdr14:nvPr macro=""/>
          <xdr14:xfrm>
            <a:off x="3247920" y="2638170"/>
            <a:ext cx="952920" cy="100080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E68093B7-ADAC-9F91-875A-E28F934E5D8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241844" y="2631910"/>
              <a:ext cx="965073" cy="10133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584490</xdr:colOff>
      <xdr:row>19</xdr:row>
      <xdr:rowOff>60810</xdr:rowOff>
    </xdr:from>
    <xdr:to>
      <xdr:col>7</xdr:col>
      <xdr:colOff>114720</xdr:colOff>
      <xdr:row>20</xdr:row>
      <xdr:rowOff>114510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1FBB0B12-A6EC-34EE-B226-A3A0719F5A9A}"/>
                </a:ext>
              </a:extLst>
            </xdr14:cNvPr>
            <xdr14:cNvContentPartPr/>
          </xdr14:nvContentPartPr>
          <xdr14:nvPr macro=""/>
          <xdr14:xfrm flipH="1">
            <a:off x="4242090" y="3499335"/>
            <a:ext cx="139830" cy="234675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1FBB0B12-A6EC-34EE-B226-A3A0719F5A9A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 flipH="1">
              <a:off x="4235801" y="3493318"/>
              <a:ext cx="152407" cy="2467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456840</xdr:colOff>
      <xdr:row>20</xdr:row>
      <xdr:rowOff>52590</xdr:rowOff>
    </xdr:from>
    <xdr:to>
      <xdr:col>7</xdr:col>
      <xdr:colOff>97170</xdr:colOff>
      <xdr:row>20</xdr:row>
      <xdr:rowOff>136680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559C552D-5F00-B1BB-95A8-5D3E36525869}"/>
                </a:ext>
              </a:extLst>
            </xdr14:cNvPr>
            <xdr14:cNvContentPartPr/>
          </xdr14:nvContentPartPr>
          <xdr14:nvPr macro=""/>
          <xdr14:xfrm>
            <a:off x="4114440" y="3672090"/>
            <a:ext cx="261360" cy="8028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559C552D-5F00-B1BB-95A8-5D3E36525869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4107944" y="3665683"/>
              <a:ext cx="274352" cy="930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89040</xdr:colOff>
      <xdr:row>14</xdr:row>
      <xdr:rowOff>85800</xdr:rowOff>
    </xdr:from>
    <xdr:to>
      <xdr:col>5</xdr:col>
      <xdr:colOff>282510</xdr:colOff>
      <xdr:row>15</xdr:row>
      <xdr:rowOff>56730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9BE0905B-1B40-F862-DF03-43E26DF738E7}"/>
                </a:ext>
              </a:extLst>
            </xdr14:cNvPr>
            <xdr14:cNvContentPartPr/>
          </xdr14:nvContentPartPr>
          <xdr14:nvPr macro=""/>
          <xdr14:xfrm>
            <a:off x="3137040" y="2619450"/>
            <a:ext cx="197280" cy="16524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9BE0905B-1B40-F862-DF03-43E26DF738E7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130806" y="2612746"/>
              <a:ext cx="209748" cy="1786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206850</xdr:colOff>
      <xdr:row>16</xdr:row>
      <xdr:rowOff>114450</xdr:rowOff>
    </xdr:from>
    <xdr:to>
      <xdr:col>6</xdr:col>
      <xdr:colOff>324000</xdr:colOff>
      <xdr:row>17</xdr:row>
      <xdr:rowOff>98205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B4874BB3-CAC4-1DAE-A6A4-17ADDFC35049}"/>
                </a:ext>
              </a:extLst>
            </xdr14:cNvPr>
            <xdr14:cNvContentPartPr/>
          </xdr14:nvContentPartPr>
          <xdr14:nvPr macro=""/>
          <xdr14:xfrm>
            <a:off x="3864450" y="3010050"/>
            <a:ext cx="113340" cy="16092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B4874BB3-CAC4-1DAE-A6A4-17ADDFC35049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3858333" y="3003930"/>
              <a:ext cx="125574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409320</xdr:colOff>
      <xdr:row>16</xdr:row>
      <xdr:rowOff>133170</xdr:rowOff>
    </xdr:from>
    <xdr:to>
      <xdr:col>6</xdr:col>
      <xdr:colOff>548910</xdr:colOff>
      <xdr:row>18</xdr:row>
      <xdr:rowOff>20550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C057C772-693F-79B6-ACFD-A4C45119620A}"/>
                </a:ext>
              </a:extLst>
            </xdr14:cNvPr>
            <xdr14:cNvContentPartPr/>
          </xdr14:nvContentPartPr>
          <xdr14:nvPr macro=""/>
          <xdr14:xfrm>
            <a:off x="4066920" y="3028770"/>
            <a:ext cx="128160" cy="24552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C057C772-693F-79B6-ACFD-A4C45119620A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4061390" y="3022446"/>
              <a:ext cx="139219" cy="2581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11385</xdr:colOff>
      <xdr:row>20</xdr:row>
      <xdr:rowOff>141045</xdr:rowOff>
    </xdr:from>
    <xdr:to>
      <xdr:col>10</xdr:col>
      <xdr:colOff>267360</xdr:colOff>
      <xdr:row>32</xdr:row>
      <xdr:rowOff>38370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AB9F267B-D037-4FBE-713E-A530CAFF77F1}"/>
                </a:ext>
              </a:extLst>
            </xdr14:cNvPr>
            <xdr14:cNvContentPartPr/>
          </xdr14:nvContentPartPr>
          <xdr14:nvPr macro=""/>
          <xdr14:xfrm>
            <a:off x="4888185" y="3760545"/>
            <a:ext cx="1475175" cy="2069025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AB9F267B-D037-4FBE-713E-A530CAFF77F1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4882080" y="3754283"/>
              <a:ext cx="1487384" cy="20815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190320</xdr:colOff>
      <xdr:row>31</xdr:row>
      <xdr:rowOff>55545</xdr:rowOff>
    </xdr:from>
    <xdr:to>
      <xdr:col>10</xdr:col>
      <xdr:colOff>288090</xdr:colOff>
      <xdr:row>32</xdr:row>
      <xdr:rowOff>56205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48DD9896-A50D-C546-90B6-81E5A475C77C}"/>
                </a:ext>
              </a:extLst>
            </xdr14:cNvPr>
            <xdr14:cNvContentPartPr/>
          </xdr14:nvContentPartPr>
          <xdr14:nvPr macro=""/>
          <xdr14:xfrm>
            <a:off x="6286320" y="5665770"/>
            <a:ext cx="93960" cy="19116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48DD9896-A50D-C546-90B6-81E5A475C77C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6280200" y="5659218"/>
              <a:ext cx="106200" cy="2042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488760</xdr:colOff>
      <xdr:row>20</xdr:row>
      <xdr:rowOff>140070</xdr:rowOff>
    </xdr:from>
    <xdr:to>
      <xdr:col>8</xdr:col>
      <xdr:colOff>114600</xdr:colOff>
      <xdr:row>21</xdr:row>
      <xdr:rowOff>98865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BF314D8C-6ED5-C8E3-B652-6237F392F9F2}"/>
                </a:ext>
              </a:extLst>
            </xdr14:cNvPr>
            <xdr14:cNvContentPartPr/>
          </xdr14:nvContentPartPr>
          <xdr14:nvPr macro=""/>
          <xdr14:xfrm>
            <a:off x="4755960" y="3759570"/>
            <a:ext cx="235440" cy="15120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BF314D8C-6ED5-C8E3-B652-6237F392F9F2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4749959" y="3752945"/>
              <a:ext cx="247441" cy="1644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164985</xdr:colOff>
      <xdr:row>25</xdr:row>
      <xdr:rowOff>64530</xdr:rowOff>
    </xdr:from>
    <xdr:to>
      <xdr:col>9</xdr:col>
      <xdr:colOff>305280</xdr:colOff>
      <xdr:row>26</xdr:row>
      <xdr:rowOff>54825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C2362FAC-71A4-C65B-BAB7-346D8DD947AF}"/>
                </a:ext>
              </a:extLst>
            </xdr14:cNvPr>
            <xdr14:cNvContentPartPr/>
          </xdr14:nvContentPartPr>
          <xdr14:nvPr macro=""/>
          <xdr14:xfrm>
            <a:off x="5651385" y="4588905"/>
            <a:ext cx="140295" cy="163650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C2362FAC-71A4-C65B-BAB7-346D8DD947AF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5645109" y="4583216"/>
              <a:ext cx="152848" cy="1750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352080</xdr:colOff>
      <xdr:row>24</xdr:row>
      <xdr:rowOff>177930</xdr:rowOff>
    </xdr:from>
    <xdr:to>
      <xdr:col>9</xdr:col>
      <xdr:colOff>513705</xdr:colOff>
      <xdr:row>26</xdr:row>
      <xdr:rowOff>168990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D3A52793-710B-E793-A719-6C3752562163}"/>
                </a:ext>
              </a:extLst>
            </xdr14:cNvPr>
            <xdr14:cNvContentPartPr/>
          </xdr14:nvContentPartPr>
          <xdr14:nvPr macro=""/>
          <xdr14:xfrm>
            <a:off x="5838480" y="4521330"/>
            <a:ext cx="174960" cy="34920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D3A52793-710B-E793-A719-6C3752562163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5831781" y="4515204"/>
              <a:ext cx="188358" cy="3614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57360</xdr:colOff>
      <xdr:row>32</xdr:row>
      <xdr:rowOff>114210</xdr:rowOff>
    </xdr:from>
    <xdr:to>
      <xdr:col>13</xdr:col>
      <xdr:colOff>286245</xdr:colOff>
      <xdr:row>38</xdr:row>
      <xdr:rowOff>93300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D9D7FFCB-3353-CB68-EA61-CFAA97591790}"/>
                </a:ext>
              </a:extLst>
            </xdr14:cNvPr>
            <xdr14:cNvContentPartPr/>
          </xdr14:nvContentPartPr>
          <xdr14:nvPr macro=""/>
          <xdr14:xfrm>
            <a:off x="6762960" y="5905410"/>
            <a:ext cx="1438560" cy="1057320"/>
          </xdr14:xfrm>
        </xdr:contentPart>
      </mc:Choice>
      <mc:Fallback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D9D7FFCB-3353-CB68-EA61-CFAA97591790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6756920" y="5899193"/>
              <a:ext cx="1450640" cy="10697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180960</xdr:colOff>
      <xdr:row>37</xdr:row>
      <xdr:rowOff>149295</xdr:rowOff>
    </xdr:from>
    <xdr:to>
      <xdr:col>13</xdr:col>
      <xdr:colOff>288180</xdr:colOff>
      <xdr:row>38</xdr:row>
      <xdr:rowOff>75600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AC716379-317A-C04B-C339-BFDC38F4774C}"/>
                </a:ext>
              </a:extLst>
            </xdr14:cNvPr>
            <xdr14:cNvContentPartPr/>
          </xdr14:nvContentPartPr>
          <xdr14:nvPr macro=""/>
          <xdr14:xfrm>
            <a:off x="8105760" y="6845370"/>
            <a:ext cx="114840" cy="10728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AC716379-317A-C04B-C339-BFDC38F4774C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8099640" y="6839250"/>
              <a:ext cx="127080" cy="11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25320</xdr:colOff>
      <xdr:row>32</xdr:row>
      <xdr:rowOff>114210</xdr:rowOff>
    </xdr:from>
    <xdr:to>
      <xdr:col>11</xdr:col>
      <xdr:colOff>243990</xdr:colOff>
      <xdr:row>33</xdr:row>
      <xdr:rowOff>114675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42490EF0-CB43-D65E-B4C1-846CE39CCA0E}"/>
                </a:ext>
              </a:extLst>
            </xdr14:cNvPr>
            <xdr14:cNvContentPartPr/>
          </xdr14:nvContentPartPr>
          <xdr14:nvPr macro=""/>
          <xdr14:xfrm>
            <a:off x="6730920" y="5905410"/>
            <a:ext cx="222480" cy="181440"/>
          </xdr14:xfrm>
        </xdr:contentPart>
      </mc:Choice>
      <mc:Fallback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42490EF0-CB43-D65E-B4C1-846CE39CCA0E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6724800" y="5899290"/>
              <a:ext cx="234720" cy="19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131910</xdr:colOff>
      <xdr:row>33</xdr:row>
      <xdr:rowOff>49260</xdr:rowOff>
    </xdr:from>
    <xdr:to>
      <xdr:col>12</xdr:col>
      <xdr:colOff>289485</xdr:colOff>
      <xdr:row>34</xdr:row>
      <xdr:rowOff>58515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416AAB36-2900-086F-6A1D-CA68C3F6761A}"/>
                </a:ext>
              </a:extLst>
            </xdr14:cNvPr>
            <xdr14:cNvContentPartPr/>
          </xdr14:nvContentPartPr>
          <xdr14:nvPr macro=""/>
          <xdr14:xfrm>
            <a:off x="7447110" y="6021435"/>
            <a:ext cx="161385" cy="194040"/>
          </xdr14:xfrm>
        </xdr:contentPart>
      </mc:Choice>
      <mc:Fallback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416AAB36-2900-086F-6A1D-CA68C3F6761A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7440700" y="6014992"/>
              <a:ext cx="174205" cy="2069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419040</xdr:colOff>
      <xdr:row>33</xdr:row>
      <xdr:rowOff>18195</xdr:rowOff>
    </xdr:from>
    <xdr:to>
      <xdr:col>12</xdr:col>
      <xdr:colOff>548850</xdr:colOff>
      <xdr:row>34</xdr:row>
      <xdr:rowOff>168630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23D2AA1F-833D-50EE-5427-EF3C205DC7FD}"/>
                </a:ext>
              </a:extLst>
            </xdr14:cNvPr>
            <xdr14:cNvContentPartPr/>
          </xdr14:nvContentPartPr>
          <xdr14:nvPr macro=""/>
          <xdr14:xfrm>
            <a:off x="7734240" y="5990370"/>
            <a:ext cx="126000" cy="32760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23D2AA1F-833D-50EE-5427-EF3C205DC7FD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7728120" y="5984250"/>
              <a:ext cx="138240" cy="33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12600</xdr:colOff>
      <xdr:row>8</xdr:row>
      <xdr:rowOff>114080</xdr:rowOff>
    </xdr:from>
    <xdr:to>
      <xdr:col>4</xdr:col>
      <xdr:colOff>266640</xdr:colOff>
      <xdr:row>14</xdr:row>
      <xdr:rowOff>92930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67E9F437-373B-FB0F-1CF8-DC3961EB71F0}"/>
                </a:ext>
              </a:extLst>
            </xdr14:cNvPr>
            <xdr14:cNvContentPartPr/>
          </xdr14:nvContentPartPr>
          <xdr14:nvPr macro=""/>
          <xdr14:xfrm>
            <a:off x="1841400" y="1536480"/>
            <a:ext cx="863640" cy="1041840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67E9F437-373B-FB0F-1CF8-DC3961EB71F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835272" y="1530352"/>
              <a:ext cx="875895" cy="10540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152520</xdr:colOff>
      <xdr:row>13</xdr:row>
      <xdr:rowOff>136600</xdr:rowOff>
    </xdr:from>
    <xdr:to>
      <xdr:col>4</xdr:col>
      <xdr:colOff>359310</xdr:colOff>
      <xdr:row>14</xdr:row>
      <xdr:rowOff>169250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4428E13B-F684-032F-D952-88490E8B39CB}"/>
                </a:ext>
              </a:extLst>
            </xdr14:cNvPr>
            <xdr14:cNvContentPartPr/>
          </xdr14:nvContentPartPr>
          <xdr14:nvPr macro=""/>
          <xdr14:xfrm>
            <a:off x="2590920" y="2448000"/>
            <a:ext cx="210600" cy="206640"/>
          </xdr14:xfrm>
        </xdr:contentPart>
      </mc:Choice>
      <mc:Fallback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4428E13B-F684-032F-D952-88490E8B39CB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2584694" y="2442076"/>
              <a:ext cx="223053" cy="2184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587490</xdr:colOff>
      <xdr:row>8</xdr:row>
      <xdr:rowOff>97670</xdr:rowOff>
    </xdr:from>
    <xdr:to>
      <xdr:col>3</xdr:col>
      <xdr:colOff>228600</xdr:colOff>
      <xdr:row>8</xdr:row>
      <xdr:rowOff>134660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22C16FC4-7D49-9910-229A-8ACB3EC404EB}"/>
                </a:ext>
              </a:extLst>
            </xdr14:cNvPr>
            <xdr14:cNvContentPartPr/>
          </xdr14:nvContentPartPr>
          <xdr14:nvPr macro=""/>
          <xdr14:xfrm>
            <a:off x="1806690" y="1520070"/>
            <a:ext cx="250710" cy="3318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22C16FC4-7D49-9910-229A-8ACB3EC404EB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800477" y="1515078"/>
              <a:ext cx="263136" cy="431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583680</xdr:colOff>
      <xdr:row>8</xdr:row>
      <xdr:rowOff>126680</xdr:rowOff>
    </xdr:from>
    <xdr:to>
      <xdr:col>2</xdr:col>
      <xdr:colOff>608520</xdr:colOff>
      <xdr:row>9</xdr:row>
      <xdr:rowOff>167970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B824A123-A803-03DF-A46C-EC1585EE93F7}"/>
                </a:ext>
              </a:extLst>
            </xdr14:cNvPr>
            <xdr14:cNvContentPartPr/>
          </xdr14:nvContentPartPr>
          <xdr14:nvPr macro=""/>
          <xdr14:xfrm>
            <a:off x="1802880" y="1549080"/>
            <a:ext cx="24840" cy="215280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B824A123-A803-03DF-A46C-EC1585EE93F7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795723" y="1542950"/>
              <a:ext cx="39155" cy="2275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558870</xdr:colOff>
      <xdr:row>8</xdr:row>
      <xdr:rowOff>169310</xdr:rowOff>
    </xdr:from>
    <xdr:to>
      <xdr:col>4</xdr:col>
      <xdr:colOff>436755</xdr:colOff>
      <xdr:row>10</xdr:row>
      <xdr:rowOff>172480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C6E40F6B-4C39-860F-344A-D847F7C099FC}"/>
                </a:ext>
              </a:extLst>
            </xdr14:cNvPr>
            <xdr14:cNvContentPartPr/>
          </xdr14:nvContentPartPr>
          <xdr14:nvPr macro=""/>
          <xdr14:xfrm>
            <a:off x="2387670" y="1591710"/>
            <a:ext cx="500820" cy="354960"/>
          </xdr14:xfrm>
        </xdr:contentPart>
      </mc:Choice>
      <mc:Fallback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C6E40F6B-4C39-860F-344A-D847F7C099FC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2381469" y="1585559"/>
              <a:ext cx="513222" cy="3672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12720</xdr:colOff>
      <xdr:row>38</xdr:row>
      <xdr:rowOff>126560</xdr:rowOff>
    </xdr:from>
    <xdr:to>
      <xdr:col>17</xdr:col>
      <xdr:colOff>134460</xdr:colOff>
      <xdr:row>50</xdr:row>
      <xdr:rowOff>96860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C1CFED7D-92E3-63F2-0F35-1A4C9EE1E56C}"/>
                </a:ext>
              </a:extLst>
            </xdr14:cNvPr>
            <xdr14:cNvContentPartPr/>
          </xdr14:nvContentPartPr>
          <xdr14:nvPr macro=""/>
          <xdr14:xfrm>
            <a:off x="8547120" y="6882960"/>
            <a:ext cx="1942920" cy="2096280"/>
          </xdr14:xfrm>
        </xdr:contentPart>
      </mc:Choice>
      <mc:Fallback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C1CFED7D-92E3-63F2-0F35-1A4C9EE1E56C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8541038" y="6876820"/>
              <a:ext cx="1955083" cy="210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533400</xdr:colOff>
      <xdr:row>49</xdr:row>
      <xdr:rowOff>132760</xdr:rowOff>
    </xdr:from>
    <xdr:to>
      <xdr:col>17</xdr:col>
      <xdr:colOff>190920</xdr:colOff>
      <xdr:row>50</xdr:row>
      <xdr:rowOff>171950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23C5F19F-FD4F-E29E-7934-34CE0479BCE7}"/>
                </a:ext>
              </a:extLst>
            </xdr14:cNvPr>
            <xdr14:cNvContentPartPr/>
          </xdr14:nvContentPartPr>
          <xdr14:nvPr macro=""/>
          <xdr14:xfrm>
            <a:off x="10287000" y="8844960"/>
            <a:ext cx="267120" cy="205560"/>
          </xdr14:xfrm>
        </xdr:contentPart>
      </mc:Choice>
      <mc:Fallback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23C5F19F-FD4F-E29E-7934-34CE0479BCE7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10280945" y="8839037"/>
              <a:ext cx="279229" cy="2174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570840</xdr:colOff>
      <xdr:row>38</xdr:row>
      <xdr:rowOff>102800</xdr:rowOff>
    </xdr:from>
    <xdr:to>
      <xdr:col>14</xdr:col>
      <xdr:colOff>322980</xdr:colOff>
      <xdr:row>40</xdr:row>
      <xdr:rowOff>20200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4A512ED8-5F94-A2A0-900B-542F37C8D2A0}"/>
                </a:ext>
              </a:extLst>
            </xdr14:cNvPr>
            <xdr14:cNvContentPartPr/>
          </xdr14:nvContentPartPr>
          <xdr14:nvPr macro=""/>
          <xdr14:xfrm>
            <a:off x="8495640" y="6859200"/>
            <a:ext cx="369360" cy="257760"/>
          </xdr14:xfrm>
        </xdr:contentPart>
      </mc:Choice>
      <mc:Fallback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4A512ED8-5F94-A2A0-900B-542F37C8D2A0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8489441" y="6853465"/>
              <a:ext cx="381757" cy="2692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269280</xdr:colOff>
      <xdr:row>41</xdr:row>
      <xdr:rowOff>16370</xdr:rowOff>
    </xdr:from>
    <xdr:to>
      <xdr:col>15</xdr:col>
      <xdr:colOff>533880</xdr:colOff>
      <xdr:row>42</xdr:row>
      <xdr:rowOff>98550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EEB01C0F-941D-B1F7-2529-1472A817E39A}"/>
                </a:ext>
              </a:extLst>
            </xdr14:cNvPr>
            <xdr14:cNvContentPartPr/>
          </xdr14:nvContentPartPr>
          <xdr14:nvPr macro=""/>
          <xdr14:xfrm>
            <a:off x="9413280" y="7306170"/>
            <a:ext cx="264600" cy="252360"/>
          </xdr14:xfrm>
        </xdr:contentPart>
      </mc:Choice>
      <mc:Fallback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EEB01C0F-941D-B1F7-2529-1472A817E39A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9407160" y="7300128"/>
              <a:ext cx="276840" cy="2644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122280</xdr:colOff>
      <xdr:row>40</xdr:row>
      <xdr:rowOff>161560</xdr:rowOff>
    </xdr:from>
    <xdr:to>
      <xdr:col>16</xdr:col>
      <xdr:colOff>346560</xdr:colOff>
      <xdr:row>43</xdr:row>
      <xdr:rowOff>117760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C0FFB597-7EB2-FA2F-4DCA-2BD335C18925}"/>
                </a:ext>
              </a:extLst>
            </xdr14:cNvPr>
            <xdr14:cNvContentPartPr/>
          </xdr14:nvContentPartPr>
          <xdr14:nvPr macro=""/>
          <xdr14:xfrm>
            <a:off x="9875880" y="7273560"/>
            <a:ext cx="224280" cy="489600"/>
          </xdr14:xfrm>
        </xdr:contentPart>
      </mc:Choice>
      <mc:Fallback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C0FFB597-7EB2-FA2F-4DCA-2BD335C18925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9869710" y="7267386"/>
              <a:ext cx="236619" cy="5019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202920</xdr:colOff>
      <xdr:row>29</xdr:row>
      <xdr:rowOff>114200</xdr:rowOff>
    </xdr:from>
    <xdr:to>
      <xdr:col>22</xdr:col>
      <xdr:colOff>207090</xdr:colOff>
      <xdr:row>29</xdr:row>
      <xdr:rowOff>114560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250B2B91-6879-526E-212E-AE274235A489}"/>
                </a:ext>
              </a:extLst>
            </xdr14:cNvPr>
            <xdr14:cNvContentPartPr/>
          </xdr14:nvContentPartPr>
          <xdr14:nvPr macro=""/>
          <xdr14:xfrm>
            <a:off x="13614120" y="5270400"/>
            <a:ext cx="360" cy="360"/>
          </xdr14:xfrm>
        </xdr:contentPart>
      </mc:Choice>
      <mc:Fallback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250B2B91-6879-526E-212E-AE274235A489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3608000" y="52642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20</xdr:col>
      <xdr:colOff>25400</xdr:colOff>
      <xdr:row>55</xdr:row>
      <xdr:rowOff>73070</xdr:rowOff>
    </xdr:from>
    <xdr:ext cx="267120" cy="205560"/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9421B891-074D-4DCF-95BB-A9A551942554}"/>
                </a:ext>
              </a:extLst>
            </xdr14:cNvPr>
            <xdr14:cNvContentPartPr/>
          </xdr14:nvContentPartPr>
          <xdr14:nvPr macro=""/>
          <xdr14:xfrm>
            <a:off x="12217400" y="9852070"/>
            <a:ext cx="267120" cy="205560"/>
          </xdr14:xfrm>
        </xdr:contentPart>
      </mc:Choice>
      <mc:Fallback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9421B891-074D-4DCF-95BB-A9A551942554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12211280" y="9845950"/>
              <a:ext cx="279360" cy="2178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18</xdr:col>
      <xdr:colOff>12600</xdr:colOff>
      <xdr:row>50</xdr:row>
      <xdr:rowOff>113960</xdr:rowOff>
    </xdr:from>
    <xdr:to>
      <xdr:col>20</xdr:col>
      <xdr:colOff>190560</xdr:colOff>
      <xdr:row>56</xdr:row>
      <xdr:rowOff>54650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19D2DCD8-247A-DC32-2D04-59CC3514ADC9}"/>
                </a:ext>
              </a:extLst>
            </xdr14:cNvPr>
            <xdr14:cNvContentPartPr/>
          </xdr14:nvContentPartPr>
          <xdr14:nvPr macro=""/>
          <xdr14:xfrm>
            <a:off x="10985400" y="9003960"/>
            <a:ext cx="1397160" cy="100368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19D2DCD8-247A-DC32-2D04-59CC3514ADC9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0979288" y="8997831"/>
              <a:ext cx="1409384" cy="10159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25200</xdr:colOff>
      <xdr:row>50</xdr:row>
      <xdr:rowOff>120440</xdr:rowOff>
    </xdr:from>
    <xdr:to>
      <xdr:col>18</xdr:col>
      <xdr:colOff>266760</xdr:colOff>
      <xdr:row>51</xdr:row>
      <xdr:rowOff>172530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E8D17CFE-ADE5-A51D-8CB1-582431195BD1}"/>
                </a:ext>
              </a:extLst>
            </xdr14:cNvPr>
            <xdr14:cNvContentPartPr/>
          </xdr14:nvContentPartPr>
          <xdr14:nvPr macro=""/>
          <xdr14:xfrm>
            <a:off x="10998000" y="9010440"/>
            <a:ext cx="241560" cy="226080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E8D17CFE-ADE5-A51D-8CB1-582431195BD1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0991979" y="9004349"/>
              <a:ext cx="253603" cy="2382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152520</xdr:colOff>
      <xdr:row>51</xdr:row>
      <xdr:rowOff>25080</xdr:rowOff>
    </xdr:from>
    <xdr:to>
      <xdr:col>19</xdr:col>
      <xdr:colOff>359370</xdr:colOff>
      <xdr:row>51</xdr:row>
      <xdr:rowOff>21630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F15AEC3C-517F-9A11-57A8-FC3F85A15839}"/>
                </a:ext>
              </a:extLst>
            </xdr14:cNvPr>
            <xdr14:cNvContentPartPr/>
          </xdr14:nvContentPartPr>
          <xdr14:nvPr macro=""/>
          <xdr14:xfrm>
            <a:off x="11734920" y="9092880"/>
            <a:ext cx="203040" cy="36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F15AEC3C-517F-9A11-57A8-FC3F85A15839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1728800" y="9086760"/>
              <a:ext cx="2152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215880</xdr:colOff>
      <xdr:row>50</xdr:row>
      <xdr:rowOff>101000</xdr:rowOff>
    </xdr:from>
    <xdr:to>
      <xdr:col>19</xdr:col>
      <xdr:colOff>245745</xdr:colOff>
      <xdr:row>52</xdr:row>
      <xdr:rowOff>15310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FD76B49E-CB00-AE27-9B2C-0D479E221596}"/>
                </a:ext>
              </a:extLst>
            </xdr14:cNvPr>
            <xdr14:cNvContentPartPr/>
          </xdr14:nvContentPartPr>
          <xdr14:nvPr macro=""/>
          <xdr14:xfrm>
            <a:off x="11798280" y="8991000"/>
            <a:ext cx="43200" cy="258480"/>
          </xdr14:xfrm>
        </xdr:contentPart>
      </mc:Choice>
      <mc:Fallback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FD76B49E-CB00-AE27-9B2C-0D479E221596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1792451" y="8984972"/>
              <a:ext cx="54857" cy="2705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467520</xdr:colOff>
      <xdr:row>49</xdr:row>
      <xdr:rowOff>165400</xdr:rowOff>
    </xdr:from>
    <xdr:to>
      <xdr:col>20</xdr:col>
      <xdr:colOff>116400</xdr:colOff>
      <xdr:row>52</xdr:row>
      <xdr:rowOff>58390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7A32A6DF-0119-B7C0-9143-FB97AABEA78D}"/>
                </a:ext>
              </a:extLst>
            </xdr14:cNvPr>
            <xdr14:cNvContentPartPr/>
          </xdr14:nvContentPartPr>
          <xdr14:nvPr macro=""/>
          <xdr14:xfrm>
            <a:off x="12049920" y="8877600"/>
            <a:ext cx="258480" cy="430200"/>
          </xdr14:xfrm>
        </xdr:contentPart>
      </mc:Choice>
      <mc:Fallback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7A32A6DF-0119-B7C0-9143-FB97AABEA78D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2043825" y="8871333"/>
              <a:ext cx="270669" cy="44273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0:56:36.14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653 27 24575,'0'-1'0,"-1"0"0,1 0 0,0 0 0,-1 0 0,1 0 0,-1 1 0,1-1 0,-1 0 0,1 0 0,-1 0 0,0 1 0,1-1 0,-1 0 0,0 0 0,0 1 0,0-1 0,1 1 0,-1-1 0,0 1 0,0-1 0,0 1 0,0-1 0,0 1 0,0 0 0,0 0 0,0-1 0,-2 1 0,-32-5 0,29 5 0,-40-3 0,1 2 0,-1 3 0,1 1 0,0 2 0,-68 17 0,105-20 0,1 0 0,-1 0 0,1 1 0,0 0 0,0 0 0,0 1 0,0 0 0,0 0 0,1 0 0,0 1 0,0 0 0,-6 7 0,8-7 0,0 0 0,1 0 0,0 1 0,0-1 0,0 1 0,1 0 0,-1-1 0,2 1 0,-1 0 0,1 0 0,-1 1 0,2-1 0,-1 0 0,1 0 0,0 12 0,1-8 0,0 0 0,0 0 0,1-1 0,0 1 0,1 0 0,0-1 0,0 1 0,1-1 0,0 0 0,1 0 0,0-1 0,0 1 0,10 10 0,4 1 0,0-1 0,2 0 0,33 23 0,-40-32 0,-8-6 0,-1 0 0,0 1 0,0-1 0,0 1 0,-1 1 0,0-1 0,0 0 0,0 1 0,-1 0 0,1 0 0,-1 0 0,-1 0 0,1 1 0,-1-1 0,0 1 0,-1-1 0,1 1 0,-1 0 0,-1 0 0,1-1 0,-1 1 0,0 0 0,-1 0 0,1 0 0,-2-1 0,1 1 0,-1 0 0,1-1 0,-2 1 0,-3 8 0,-7 12 0,-1-1 0,0-1 0,-2 0 0,-1-1 0,-33 36 0,39-46 0,-1-2 0,0 1 0,-1-1 0,0-1 0,-19 13 0,26-21 0,-1 0 0,1 0 0,0 0 0,-1-1 0,0 0 0,1 0 0,-1-1 0,0 1 0,0-1 0,0-1 0,0 0 0,0 0 0,0 0 0,0-1 0,-13-2 0,4-3 0,24 2 0,31 6 0,-11 6 0,0 1 0,-1 1 0,0 2 0,0 1 0,-2 0 0,29 21 0,-47-28 0,-1 0 0,1 1 0,-1 1 0,0-1 0,0 1 0,-1-1 0,0 2 0,-1-1 0,0 0 0,0 1 0,0 0 0,-1 0 0,-1 0 0,1 0 0,-2 1 0,2 9 0,0 20 0,-1 0 0,-7 65 0,2-25 0,2-43 0,1 51 0,-16 108 0,5-91 0,9-72 0,-1 0 0,-2 0 0,-1 0 0,-1-1 0,-23 59 0,-41 98 0,36-85 0,28-81 0,1 1 0,1 0 0,-2 26 0,4-27 0,0-1 0,-2 0 0,-12 40 0,12-50 0,1 0 0,0 0 0,1 1 0,1-1 0,0 1 0,-1 17 0,2-24 0,2 0 0,-1-1 0,0 1 0,1 0 0,0-1 0,0 1 0,0 0 0,1-1 0,0 0 0,-1 1 0,2-1 0,-1 0 0,0 0 0,1 0 0,0 0 0,0 0 0,0-1 0,0 1 0,4 2 0,37 27 0,2-1 0,49 25 0,-33-21 0,-49-29-195,-1-1 0,1-1 0,1 0 0,-1 0 0,1-1 0,16 2 0,4-1-6631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0:56:42.10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719 0 24575,'1'0'0,"-1"0"0,1 0 0,0 0 0,-1 0 0,1 0 0,0 0 0,-1 0 0,1 1 0,0-1 0,-1 0 0,1 0 0,-1 0 0,1 1 0,0-1 0,-1 0 0,1 1 0,-1-1 0,1 0 0,-1 1 0,1-1 0,-1 1 0,1-1 0,-1 1 0,1-1 0,-1 1 0,0-1 0,1 1 0,-1-1 0,0 1 0,0 0 0,1-1 0,-1 1 0,0 0 0,-4 26 0,-19 22 0,16-39 0,-1 5 0,-1-1 0,-1 0 0,-18 19 0,23-28 0,0-1 0,0 0 0,-1 0 0,1 0 0,-1-1 0,0 1 0,0-1 0,-1-1 0,1 1 0,-1-1 0,1 0 0,-11 1 0,-25 4 0,22-4 0,0 0 0,0 2 0,0 0 0,-32 12 0,46-14 0,0 0 0,1 1 0,-1 0 0,1-1 0,-1 1 0,1 1 0,0-1 0,1 1 0,-1 0 0,1 0 0,0 0 0,0 1 0,1-1 0,0 1 0,0 0 0,0 0 0,1 0 0,-3 10 0,-1 13 0,2 0 0,2 1 0,0-1 0,3 1 0,5 46 0,0 21 0,-6-84 0,1 0 0,0-1 0,1 1 0,1 0 0,0-1 0,0 1 0,2-1 0,-1 0 0,2-1 0,-1 1 0,2-1 0,0 0 0,15 19 0,-13-18 0,-1 0 0,0 0 0,0 1 0,-2 0 0,1 1 0,-2 0 0,5 17 0,-8-26 0,-1 1 0,0 0 0,-1 0 0,1 0 0,-1 0 0,-1 0 0,1 0 0,-1 0 0,0 0 0,0 0 0,-1 0 0,0 0 0,0-1 0,0 1 0,-1-1 0,0 1 0,0-1 0,0 0 0,-1 0 0,-4 5 0,2-2 0,-2 1 0,0-1 0,0 0 0,0-1 0,-1 0 0,0 0 0,0 0 0,-1-2 0,0 1 0,0-1 0,0 0 0,-1-1 0,1 0 0,-1-1 0,-15 3 0,-2 0 0,1 1 0,0 2 0,-34 14 0,-10 4 0,69-27 0,1 0 0,0 1 0,0-1 0,0 0 0,0 1 0,0-1 0,-1 1 0,1-1 0,0 1 0,0-1 0,0 1 0,0 0 0,1-1 0,-1 1 0,0 0 0,0 0 0,0 0 0,1 0 0,-1 0 0,0 0 0,0 1 0,1-1 0,0 0 0,0 0 0,0 0 0,1-1 0,-1 1 0,0 0 0,1 0 0,-1 0 0,1-1 0,-1 1 0,1 0 0,-1-1 0,1 1 0,-1 0 0,1-1 0,-1 1 0,1-1 0,0 1 0,0-1 0,-1 1 0,2 0 0,54 23 0,-50-22 0,34 15 0,-1 2 0,0 1 0,41 30 0,54 29 0,-118-72 0,0 2 0,-1-1 0,0 2 0,-1 0 0,0 1 0,23 22 0,-31-25 0,0 0 0,0 0 0,-1 0 0,0 0 0,-1 1 0,0 0 0,0 0 0,-1 0 0,0 0 0,0 0 0,-1 1 0,-1-1 0,2 16 0,-7 171 0,-1-56 0,4 12 0,3 157 0,-1-294 0,1-1 0,0 1 0,1 0 0,1-1 0,0 0 0,1 0 0,0 0 0,1-1 0,9 15 0,-1-7 0,0-1 0,2-1 0,0 0 0,34 29 0,64 61 0,79 66 0,-193-175 0,1 1 0,-1-1 0,0 1 0,1-1 0,-1 0 0,1 1 0,-1-1 0,0 0 0,1 0 0,-1 1 0,1-1 0,-1 0 0,1 0 0,-1 1 0,1-1 0,-1 0 0,1 0 0,-1 0 0,1 0 0,-1 0 0,1 0 0,-1 0 0,1 0 0,-1 0 0,1 0 0,-1 0 0,1 0 0,-1 0 0,1 0 0,-1-1 0,1 1 0,-1 0 0,2-1 0,1-16 0,-9-24 0,-7 6-1365,-2 3-5461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0:56:47.69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446 0 24575,'-25'0'0,"0"1"0,1 1 0,-42 8 0,56-7 0,0 0 0,0 0 0,1 1 0,-1 1 0,1-1 0,0 2 0,1-1 0,-1 1 0,1 0 0,0 1 0,-10 11 0,11-11 0,0 1 0,1 0 0,0 0 0,0 1 0,1-1 0,0 1 0,-6 17 0,10-21 0,0-1 0,-1 1 0,1-1 0,1 1 0,-1 0 0,1 0 0,0-1 0,0 1 0,0 0 0,1 0 0,-1-1 0,1 1 0,0 0 0,1-1 0,-1 1 0,1-1 0,0 1 0,4 7 0,46 64 0,-27-41 0,28 52 0,-46-73 0,0 0 0,-1 1 0,-1 0 0,-1 0 0,0 0 0,-1 1 0,2 22 0,-2 42 0,-10 108 0,7-183 0,0 0 0,-1 1 0,0-1 0,0 0 0,0 0 0,0 0 0,-1-1 0,0 1 0,0 0 0,0 0 0,-1-1 0,0 0 0,0 1 0,0-1 0,0 0 0,0 0 0,-1-1 0,0 1 0,0-1 0,0 0 0,0 0 0,-8 5 0,-3-2 0,0-1 0,-1 0 0,0 0 0,0-2 0,-27 4 0,-36 7 0,77-13 0,0-1 0,-1 1 0,1 0 0,-1 0 0,1 0 0,0 0 0,-1 0 0,1 0 0,0 0 0,0 1 0,0-1 0,0 1 0,0 0 0,0-1 0,1 1 0,-1 0 0,1 0 0,-1 0 0,1 0 0,-1 0 0,1 1 0,0-1 0,0 0 0,0 1 0,1-1 0,-1 0 0,-1 6 0,3-5 0,-1 0 0,1-1 0,-1 1 0,1 0 0,0 0 0,0-1 0,0 1 0,1 0 0,-1-1 0,0 1 0,1-1 0,0 0 0,-1 1 0,1-1 0,0 0 0,0 0 0,1 0 0,-1 0 0,0-1 0,1 1 0,-1 0 0,1-1 0,-1 0 0,4 2 0,14 4 0,-1-1 0,0 0 0,1-2 0,31 4 0,-28-5 0,0 1 0,-1 1 0,33 11 0,-49-14 0,0 1 0,0 0 0,0 1 0,0-1 0,-1 1 0,1 0 0,-1 0 0,0 1 0,0-1 0,0 1 0,-1 0 0,0 1 0,0-1 0,0 1 0,0 0 0,2 6 0,6 17 0,-1 0 0,-1 0 0,-1 1 0,-2 0 0,-1 1 0,-1-1 0,-2 1 0,-1 56 0,-3-60 0,1 80 0,-5 0 0,-28 160 0,18-167 0,12-73 0,-1 0 0,-1-1 0,-1 1 0,-1-1 0,-20 46 0,19-57 0,-7 13 0,2 0 0,0 1 0,2 0 0,-10 40 0,20-61 0,-1 0 0,1 1 0,0-1 0,1 0 0,0 0 0,0 1 0,1-1 0,0 0 0,0 0 0,1 0 0,0 0 0,1 0 0,0 0 0,0 0 0,0-1 0,1 0 0,0 1 0,1-1 0,-1-1 0,1 1 0,10 9 0,-6-8 9,0 0 1,1 0-1,0-1 0,0-1 0,1 0 1,0 0-1,0-1 0,0 0 0,0-1 0,1-1 1,0 1-1,12 0 0,-3-1-221,0-1 0,0 0 0,0-2-1,0-1 1,0-1 0,25-4 0,-15-1-6614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0:57:13.921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946 1 24575,'1'1'0,"-1"-1"0,1 1 0,0 0 0,0 0 0,0-1 0,0 1 0,-1 0 0,1 0 0,0 0 0,-1 0 0,1 0 0,-1 0 0,1 0 0,-1 0 0,0 0 0,1 0 0,-1 1 0,0-1 0,0 0 0,0 0 0,0 0 0,0 0 0,0 0 0,0 0 0,0 0 0,0 1 0,-1-1 0,1 0 0,0 0 0,-2 1 0,1 1 0,-1-1 0,-1 0 0,1 0 0,0 0 0,0 0 0,-1 0 0,1 0 0,-1-1 0,0 1 0,0-1 0,-4 2 0,-6 2 0,0 0 0,-1-1 0,1-1 0,-19 3 0,-7-4 0,-52-3 0,52 0 0,-53 4 0,85-3 0,1 1 0,0 0 0,0 0 0,0 1 0,0 0 0,0 0 0,0 0 0,0 0 0,1 1 0,-1 0 0,1 0 0,0 1 0,0-1 0,0 1 0,1 0 0,-1 0 0,1 1 0,0-1 0,0 1 0,1 0 0,-1-1 0,1 2 0,0-1 0,1 0 0,-1 1 0,-2 9 0,2-1 0,0-1 0,1 1 0,0-1 0,2 1 0,0 0 0,0 0 0,1-1 0,1 1 0,0 0 0,8 21 0,8 43 0,-15-58 0,2 1 0,0 0 0,12 27 0,-10-30 0,-1-1 0,-1 1 0,0 0 0,-2 0 0,2 34 0,-6 98 0,-2-69 0,4 20 0,-3 90 0,-24-28 0,12-43 0,-1 24 0,11-89 0,-21 97 0,14-98 0,-7 102 0,4-28 0,8-85 0,-1 48 0,8 584 0,1-626 0,10 51 0,2 47 0,-14-44 0,-2-20 0,5 0 0,13 82 0,-10-136 0,-2-14 0,-1 0 0,-1 0 0,0 0 0,-1 17 0,-1-29 0,0-1 0,-1 1 0,1 0 0,0 0 0,-1 0 0,0-1 0,0 1 0,0 0 0,0-1 0,0 1 0,0-1 0,-1 1 0,1-1 0,-1 1 0,0-1 0,0 0 0,0 0 0,0 0 0,0 0 0,0 0 0,-1 0 0,1-1 0,0 1 0,-1-1 0,0 1 0,1-1 0,-5 1 0,-38 10 0,-49 6 0,11-2 0,14-10 0,58-6 0,-1 1 0,1 0 0,0 0 0,0 1 0,-16 4 0,25-5 0,1-1 0,0 0 0,-1 1 0,1-1 0,-1 1 0,1 0 0,0-1 0,0 1 0,-1 0 0,1 0 0,0 0 0,0 0 0,0 0 0,0 0 0,0 0 0,0 0 0,0 0 0,1 0 0,-1 1 0,0-1 0,1 0 0,-1 1 0,1-1 0,-1 0 0,1 1 0,0-1 0,-1 3 0,2-1 0,-1 0 0,1 1 0,0-1 0,0 0 0,0 0 0,0 0 0,1 0 0,-1 0 0,1-1 0,0 1 0,3 4 0,6 6 0,1-2 0,0 1 0,24 16 0,39 20 0,-59-39 0,0 0 0,-1 0 0,0 2 0,0-1 0,-2 2 0,1 0 0,-1 0 0,-1 2 0,10 13 0,-14-13 0,0 1 0,-2-1 0,0 1 0,-1 1 0,7 30 0,4 84 0,-12-87 0,-1-11 0,0 10 0,19 81 0,-9-71 0,-3 0 0,5 103 0,-16 110 0,-3-101 0,6-138 0,1 0 0,0 1 0,3-1 0,9 29 0,7 34 0,-21-70 0,0 0 0,-1 0 0,-1 1 0,0-1 0,-9 32 0,-1 31 0,-28 210 0,25-203 0,10-51 0,1 45 0,3-58 0,0 0 0,-2 0 0,-1 0 0,-1 0 0,-9 28 0,-6 1 0,-2 2 0,-24 116 0,3-16 0,30-118 0,0 1 0,3 1 0,-5 56 0,1 26 0,-1 35 0,12-28 0,10 253 0,-2-347 0,2 1 0,1-2 0,2 1 0,2-2 0,17 35 0,18 45 0,-43-89 0,0 0 0,-1 0 0,-2 1 0,-1-1 0,0 1 0,-5 32 0,1 8 0,2-27 0,-1-7 0,2 1 0,1-1 0,1 0 0,2 0 0,2 0 0,11 38 0,-8-42 0,-5-14 0,1 0 0,1 1 0,0-2 0,11 19 0,-14-26 0,1-1 0,0 0 0,-1 0 0,2 0 0,-1-1 0,0 0 0,1 1 0,-1-1 0,1-1 0,0 1 0,0-1 0,0 1 0,0-1 0,1-1 0,9 3 0,5-1 0,1 0 0,0-1 0,25-1 0,-22-2 0,-1 2 0,35 6 0,-39-4-227,-1 0-1,1-1 1,-1-1-1,1 0 1,23-3-1,-5-3-6598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1:02:09.005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 0 24575,'0'0'0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1:05:31.22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24575,'35'2'0,"1"1"0,-1 1 0,60 16 0,98 41 0,-185-58 0,-3-2 0,0 1 0,-1 0 0,1 0 0,-1 0 0,0 1 0,0 0 0,0 0 0,0 0 0,0 0 0,0 0 0,-1 1 0,0-1 0,0 1 0,0 0 0,0 0 0,0 0 0,-1 1 0,0-1 0,0 1 0,0-1 0,0 1 0,-1 0 0,0-1 0,0 1 0,0 0 0,0 7 0,-1 12 0,0-1 0,-2 0 0,-1 0 0,-8 36 0,-2 11 0,9-34 0,2 0 0,3 57 0,-1-91 0,0 0 0,1 0 0,-1 0 0,1 1 0,-1-1 0,1 0 0,0 0 0,0 0 0,0 0 0,0 0 0,0 0 0,1 0 0,-1-1 0,0 1 0,1 0 0,-1-1 0,1 1 0,0-1 0,0 1 0,-1-1 0,1 0 0,0 0 0,0 0 0,0 0 0,3 1 0,5 1 0,0 0 0,0-1 0,1 0 0,15 0 0,-20-2 0,0 0 0,0 0 0,-1 0 0,1 1 0,0 0 0,-1 0 0,1 1 0,-1 0 0,1-1 0,-1 2 0,0-1 0,0 1 0,0-1 0,0 2 0,7 4 0,-11-7 0,0 1 0,0-1 0,0 0 0,0 1 0,-1-1 0,1 1 0,0-1 0,-1 1 0,1 0 0,-1-1 0,1 1 0,-1-1 0,0 1 0,1 0 0,-1 0 0,0-1 0,0 1 0,0 0 0,-1-1 0,1 1 0,0 0 0,-1-1 0,1 1 0,-1-1 0,1 1 0,-1 0 0,0-1 0,0 1 0,1-1 0,-1 0 0,0 1 0,-3 2 0,-3 3 0,0-1 0,0 1 0,-1-1 0,-15 9 0,-4 3 0,15-7 0,0 0 0,1 1 0,-17 21 0,25-27 0,-1 0 0,1 1 0,0-1 0,0 0 0,1 1 0,0 0 0,0-1 0,1 1 0,-1 0 0,1 0 0,1 7 0,1 127 0,-1 22 0,-1-157 0,0 0 0,0-1 0,-1 1 0,0-1 0,0 0 0,0 1 0,-1-1 0,0 0 0,0 0 0,0-1 0,-1 1 0,1-1 0,-1 1 0,0-1 0,0 0 0,-1-1 0,1 1 0,-1-1 0,0 0 0,-10 5 0,-7 4 0,-2-2 0,1-1 0,-35 9 0,37-13-273,1-1 0,-1-1 0,0-1 0,-29-1 0,23-1-6553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1:06:41.03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 0 24575,'9'2'0,"0"0"0,0 0 0,0 0 0,0 1 0,0 1 0,-1-1 0,1 2 0,-1-1 0,12 10 0,17 6 0,0-5 0,-22-10 0,0 1 0,-1 1 0,1 0 0,23 16 0,-35-21 0,-1-1 0,0 1 0,0 0 0,0 0 0,0 0 0,-1 0 0,1 0 0,0 0 0,-1 0 0,1 1 0,-1-1 0,0 0 0,0 1 0,0-1 0,0 1 0,0 0 0,-1-1 0,1 1 0,-1 0 0,0-1 0,1 1 0,-1 0 0,0-1 0,-1 1 0,1 0 0,0-1 0,-1 1 0,0 0 0,1-1 0,-1 1 0,0-1 0,0 1 0,-1-1 0,-1 4 0,-1-1 0,0 0 0,0 0 0,-1 0 0,0 0 0,0-1 0,0 0 0,-1 0 0,1 0 0,-1-1 0,0 0 0,0 0 0,-8 3 0,5-2 0,0 1 0,0-1 0,0 2 0,-8 6 0,14-10 0,1 1 0,-1-1 0,1 1 0,0-1 0,0 1 0,0 0 0,0 0 0,0 0 0,1 0 0,0 0 0,-1 0 0,1 0 0,0 0 0,0 1 0,1-1 0,-1 5 0,0-3 0,1 0 0,0 0 0,0 0 0,0-1 0,1 1 0,0 0 0,0 0 0,0-1 0,0 1 0,1-1 0,0 1 0,0-1 0,0 0 0,0 1 0,1-1 0,-1 0 0,1-1 0,0 1 0,0 0 0,1-1 0,-1 0 0,1 0 0,0 0 0,0 0 0,0 0 0,5 2 0,12 5 0,0-1 0,0-1 0,0-1 0,35 6 0,8 4 0,-17-6 0,-37-10 0,0 1 0,-1 0 0,1 1 0,0 0 0,15 8 0,-24-10 0,-1-1 0,0 0 0,0 0 0,0 0 0,0 0 0,0 0 0,1 0 0,-1 0 0,0 0 0,0 1 0,0-1 0,0 0 0,0 0 0,0 0 0,0 0 0,1 0 0,-1 1 0,0-1 0,0 0 0,0 0 0,0 0 0,0 0 0,0 1 0,0-1 0,0 0 0,0 0 0,0 0 0,0 0 0,0 1 0,0-1 0,0 0 0,0 0 0,0 0 0,0 0 0,0 1 0,0-1 0,0 0 0,-1 0 0,1 0 0,0 0 0,0 0 0,0 1 0,0-1 0,0 0 0,0 0 0,0 0 0,-1 0 0,1 0 0,0 0 0,0 1 0,0-1 0,0 0 0,-15 7 0,-22 3 0,34-9 0,-15 3 0,-1 1 0,1 0 0,0 2 0,1 0 0,-1 1 0,2 1 0,-31 20 0,44-25 0,-1 0 0,0 1 0,1 0 0,0 0 0,0-1 0,0 2 0,1-1 0,0 0 0,0 1 0,0-1 0,1 1 0,-1-1 0,1 1 0,1 0 0,-1 6 0,0 17 0,4 52 0,0-38 0,-4 214 0,5 85 0,-2-323 0,1-1 0,9 28 0,-7-30 0,-1 1 0,-1 0 0,2 26 0,5 146 0,0 68 0,-9-165 0,-4 98 0,3-186 0,0-1 0,0 1 0,-1 0 0,1-1 0,-1 1 0,0-1 0,0 1 0,-1-1 0,1 1 0,-1-1 0,1 0 0,-1 0 0,0 0 0,0 0 0,0 0 0,-1 0 0,1 0 0,-1-1 0,0 1 0,-5 3 0,-1-1 0,0-1 0,0-1 0,-1 1 0,0-1 0,0-1 0,-12 2 0,15-3 0,-31 5-455,-1-2 0,-51-1 0,57-3-6371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1:07:34.328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474 59 24575,'0'0'0,"0"0"0,0-1 0,1 1 0,-1 0 0,0 0 0,0-1 0,0 1 0,0 0 0,0 0 0,1-1 0,-1 1 0,0 0 0,0-1 0,0 1 0,0 0 0,0-1 0,0 1 0,0 0 0,0-1 0,0 1 0,0 0 0,0 0 0,0-1 0,0 1 0,-1 0 0,1-1 0,0 1 0,0 0 0,0-1 0,0 1 0,0 0 0,-1 0 0,1-1 0,0 1 0,0 0 0,0 0 0,-1 0 0,1-1 0,-17-10 0,-19-3 0,8 7 0,0 2 0,-1 0 0,-54 0 0,-86 9 0,157-3 0,11-1 0,-8 0 0,1 1 0,0 0 0,0 0 0,-14 4 0,21-5 0,0 1 0,0-1 0,1 0 0,-1 1 0,0-1 0,0 1 0,1-1 0,-1 1 0,0-1 0,1 1 0,-1 0 0,0-1 0,1 1 0,-1 0 0,1-1 0,-1 1 0,1 0 0,-1 0 0,1-1 0,-1 3 0,1-2 0,0 1 0,0-1 0,0 0 0,1 1 0,-1-1 0,0 0 0,1 1 0,-1-1 0,1 0 0,-1 0 0,1 0 0,-1 1 0,1-1 0,0 0 0,0 0 0,0 0 0,0 0 0,1 1 0,12 11 0,0 0 0,0-1 0,30 17 0,-33-22 0,0-1 0,0 2 0,-1-1 0,0 2 0,0-1 0,-1 1 0,0 1 0,0-1 0,-1 2 0,12 19 0,45 131 0,-52-127 0,-1 0 0,-1 1 0,-2 1 0,-2-1 0,-1 2 0,-2-1 0,-2 0 0,-1 1 0,-5 55 0,2-82 0,0 1 0,0-1 0,-1 0 0,0 0 0,-1 0 0,0-1 0,0 1 0,-1-1 0,0 0 0,-1 0 0,-10 11 0,-8 9 0,-51 45 0,66-66 0,0-1 0,0-1 0,0 1 0,-17 7 0,23-12 0,0 0 0,0-1 0,-1 0 0,1 1 0,0-1 0,-1-1 0,1 1 0,-1 0 0,1-1 0,-1 0 0,0 1 0,1-1 0,-1-1 0,1 1 0,-1-1 0,1 1 0,-1-1 0,-3-1 0,7 2 0,-1 0 0,1 0 0,-1-1 0,0 1 0,1 0 0,-1 0 0,1 0 0,-1 0 0,1-1 0,-1 1 0,1 0 0,-1-1 0,1 1 0,0 0 0,-1-1 0,1 1 0,-1 0 0,1-1 0,0 1 0,-1-1 0,1 1 0,0-1 0,0 1 0,-1-1 0,1 1 0,0-1 0,0 1 0,0-1 0,-1 1 0,1-1 0,0 1 0,0-1 0,0 1 0,0-1 0,0 0 0,0 1 0,0-1 0,0 1 0,0-1 0,1 1 0,-1-1 0,0 1 0,0-1 0,0 1 0,1-1 0,-1 1 0,0-1 0,0 1 0,1-1 0,-1 1 0,1-1 0,-1 1 0,0 0 0,1-1 0,-1 1 0,1 0 0,-1-1 0,1 1 0,-1 0 0,1-1 0,-1 1 0,1 0 0,-1 0 0,1 0 0,-1 0 0,1-1 0,-1 1 0,2 0 0,40-13 0,-20 8 0,1 2 0,1 1 0,-1 1 0,0 1 0,0 1 0,0 1 0,0 1 0,30 8 0,-45-9 0,-1 0 0,1 1 0,-1-1 0,1 2 0,-1-1 0,0 1 0,-1 0 0,1 0 0,-1 1 0,1 0 0,-2 0 0,1 1 0,0-1 0,-1 1 0,0 0 0,0 1 0,-1-1 0,0 1 0,0 0 0,-1 0 0,1 0 0,-1 1 0,-1-1 0,0 1 0,0-1 0,0 1 0,0 15 0,-1 42 0,-2-1 0,-14 87 0,1-20 0,6-77 0,-1 0 0,-3-1 0,-3-1 0,-1 0 0,-25 52 0,-40 143 0,61-179 0,3 0 0,-13 111 0,21-116 0,0 27 0,4 1 0,8 95 0,0-42 0,-3 3881 0,-1-4022 0,1 1 0,0-1 0,1 0 0,-1 1 0,1-1 0,0 1 0,-1-1 0,1 0 0,1 0 0,-1 1 0,0-1 0,1 0 0,0 0 0,-1 0 0,1 0 0,0-1 0,1 1 0,-1 0 0,0-1 0,1 0 0,0 1 0,-1-1 0,1 0 0,0 0 0,0-1 0,0 1 0,4 1 0,8 2 0,-1-1 0,0-1 0,1 0 0,0-1 0,18 0 0,-21-1 0,297 4-1365,-231-8-5461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1:12:55.751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585 53 24575,'-91'-5'0,"-103"-18"0,32 2 0,160 21 0,-7-1 0,-1 0 0,1 0 0,-1 1 0,1 0 0,-1 1 0,-10 2 0,18-3 0,0 1 0,-1 0 0,1 0 0,0 0 0,0 0 0,0 1 0,0-1 0,0 0 0,0 1 0,0 0 0,0-1 0,1 1 0,-1 0 0,1 0 0,-1 0 0,1 0 0,0 0 0,-1 0 0,1 0 0,0 0 0,0 1 0,1-1 0,-1 0 0,0 1 0,1-1 0,0 0 0,-1 1 0,1 3 0,0 14 0,2 0 0,0 0 0,0 0 0,2 0 0,1-1 0,0 0 0,1 0 0,1 0 0,14 25 0,-8-15 0,-2 1 0,14 52 0,2 18 0,-20-81 0,-1 1 0,0 0 0,-2 0 0,0 0 0,-1 1 0,-1-1 0,-1 1 0,-3 29 0,2-50 0,-6 46 0,-15 54 0,17-86 0,0-1 0,-1 0 0,0-1 0,-1 1 0,-1-1 0,0 0 0,0-1 0,-16 19 0,20-27 0,-1-1 0,1 1 0,-1 0 0,0-1 0,0 0 0,0 0 0,-4 2 0,-2 1 0,29-2 0,-9-2 0,0 1 0,0 0 0,0 0 0,0 1 0,-1 1 0,1-1 0,-1 2 0,0-1 0,0 1 0,8 6 0,15 12 0,33 31 0,-57-47 0,-1-2 0,-1 1 0,0 1 0,0-1 0,0 1 0,-1 0 0,0 0 0,0 0 0,-1 1 0,0-1 0,-1 1 0,1 0 0,-1 0 0,2 11 0,-2 3 0,-1-1 0,0 1 0,-2 0 0,-2 24 0,-2 366 0,7-386 0,2 0 0,12 43 0,-8-40 0,7 53 0,-14-53 0,-2-1 0,0 1 0,-2 0 0,-1-1 0,-1 0 0,-2 1 0,-1-2 0,-19 52 0,15-54 0,-2 0 0,-17 26 0,18-32 0,0 2 0,1-1 0,1 2 0,-8 24 0,4 10 0,11-39 0,-1-1 0,-1-1 0,0 1 0,-1-1 0,0 1 0,-1-2 0,-11 18 0,5-11 0,1 0 0,0 1 0,2 1 0,1-1 0,1 1 0,1 1 0,-8 46 0,-19 56 0,23-90 0,1 1 0,2-1 0,-7 73 0,13-80 0,2 0 0,1 0 0,1 0 0,2 0 0,1 0 0,12 40 0,16 64 0,1 6 0,-16-73 0,-16-52 0,1 0 0,1 0 0,0-1 0,1 1 0,0-1 0,1 0 0,0-1 0,13 19 0,-9-18 0,-1 1 0,-1-1 0,0 2 0,-1-1 0,-1 1 0,0 0 0,-1 0 0,-1 1 0,0-1 0,-1 1 0,1 17 0,0 26 0,-6 100 0,-1-62 0,2-3 0,3 127 0,-2-217-4,0-1 1,1 1-1,-1 0 0,1-1 0,0 1 0,0-1 0,0 1 0,0-1 0,1 1 1,-1-1-1,1 0 0,0 0 0,0 0 0,0 0 0,0 0 0,0 0 1,1 0-1,0-1 0,-1 1 0,7 3 0,-4-3 21,1-1-1,-1 1 1,1-1 0,0-1-1,-1 1 1,1-1 0,0 0-1,0 0 1,0-1 0,0 0-1,10 0 1,12-4-307,1 0 1,-1-2-1,-1-2 0,32-11 1,-58 19 253,24-9-6790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12:52.985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946 1 24575,'1'1'0,"-1"-1"0,1 1 0,0 0 0,0 0 0,0-1 0,0 1 0,-1 0 0,1 0 0,0 0 0,-1 0 0,1 0 0,-1 0 0,1 0 0,-1 0 0,0 0 0,1 0 0,-1 1 0,0-1 0,0 0 0,0 0 0,0 0 0,0 0 0,0 0 0,0 0 0,0 0 0,0 1 0,-1-1 0,1-1 0,0 1 0,-2 1 0,1 1 0,-1-1 0,-1 0 0,1 0 0,0 0 0,0 0 0,-1 0 0,1 0 0,-1-1 0,0 1 0,0-1 0,-4 2 0,-6 2 0,0 0 0,-1-1 0,1-1 0,-19 3 0,-7-4 0,-52-3 0,52 0 0,-53 4 0,85-3 0,1 1 0,0 0 0,0 0 0,0 0 0,0 1 0,0 0 0,0 0 0,0 0 0,1 1 0,-1 0 0,1 0 0,0 1 0,0-1 0,0 1 0,1 0 0,-1 0 0,1 1 0,0-1 0,0 1 0,1 0 0,-1-2 0,1 3 0,0-1 0,1 0 0,-1 1 0,-2 9 0,2-1 0,0-2 0,1 2 0,0-1 0,2 1 0,0-1 0,0 1 0,1-1 0,1 1 0,0-1 0,8 22 0,8 41 0,-15-56 0,2 1 0,0-1 0,12 28 0,-10-31 0,-1 0 0,-1 1 0,0-1 0,-2 1 0,2 33 0,-6 97 0,-2-69 0,4 20 0,-3 89 0,-24-28 0,12-42 0,-1 24 0,11-88 0,-21 95 0,14-96 0,-7 100 0,4-27 0,8-84 0,-1 48 0,8 573 0,1-615 0,10 51 0,2 45 0,-14-43 0,-2-19 0,5-1 0,13 81 0,-10-133 0,-2-14 0,-1-1 0,-1 1 0,0 0 0,-1 16 0,-1-28 0,0-1 0,-1 1 0,1 0 0,0 0 0,-1 0 0,0-1 0,0 1 0,0 0 0,0-1 0,0 1 0,0-1 0,-1 1 0,1-1 0,-1 1 0,0-1 0,0 0 0,0 0 0,0-1 0,0 1 0,0 0 0,-1 0 0,1-1 0,0 1 0,-1-1 0,0 1 0,1-1 0,-5 1 0,-38 10 0,-49 6 0,11-3 0,14-9 0,58-6 0,-1 1 0,1 0 0,0 0 0,0 1 0,-16 4 0,25-5 0,1-1 0,0 0 0,-1 1 0,1-1 0,-1 1 0,1 0 0,0-1 0,0 1 0,-1 0 0,1 0 0,0 0 0,0 0 0,0 0 0,0 0 0,0 0 0,0 0 0,0 0 0,1 0 0,-1 1 0,0-1 0,1 0 0,-1 1 0,1-1 0,-1 0 0,1 1 0,0-1 0,-1 3 0,2-1 0,-1-1 0,1 2 0,0-1 0,0 0 0,0 0 0,0 0 0,1 0 0,-1 0 0,1-1 0,0 1 0,3 4 0,6 6 0,1-3 0,0 2 0,24 16 0,39 19 0,-59-38 0,0 0 0,-1-1 0,0 3 0,0-1 0,-2 2 0,1 0 0,-1 0 0,-1 1 0,10 14 0,-14-13 0,0 0 0,-2 0 0,0 1 0,-1 1 0,7 29 0,4 82 0,-12-84 0,-1-12 0,0 10 0,19 80 0,-9-70 0,-3 0 0,5 102 0,-16 107 0,-3-99 0,6-135 0,1-1 0,0 2 0,3-1 0,9 28 0,7 33 0,-21-68 0,0-1 0,-1 1 0,-1 1 0,0-2 0,-9 32 0,-1 31 0,-28 206 0,25-200 0,10-49 0,1 43 0,3-56 0,0-1 0,-2 1 0,-1 0 0,-1-1 0,-9 28 0,-6 1 0,-2 2 0,-24 114 0,3-15 0,30-117 0,0 1 0,3 2 0,-5 54 0,1 26 0,-1 34 0,12-27 0,10 248 0,-2-340 0,2 0 0,1-2 0,2 2 0,2-3 0,17 35 0,18 44 0,-43-87 0,0-1 0,-1 1 0,-2 0 0,-1 0 0,0 0 0,-5 33 0,1 6 0,2-25 0,-1-8 0,2 2 0,1-2 0,1 1 0,2-1 0,2 0 0,11 38 0,-8-41 0,-5-14 0,1-1 0,1 2 0,0-2 0,11 18 0,-14-25 0,1-1 0,0 0 0,-1 0 0,2 0 0,-1-1 0,0 0 0,1 1 0,-1-1 0,1-1 0,0 1 0,0-1 0,0 1 0,0-1 0,1-1 0,9 2 0,5 0 0,1 0 0,0-1 0,25-1 0,-22-2 0,-1 2 0,35 6 0,-39-4-227,-1 0-1,1-1 1,-1-1-1,1 0 1,23-3-1,-5-3-6598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13:23.595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946 1 24575,'1'2'0,"-1"-2"0,1 1 0,0 1 0,0 0 0,0-2 0,0 1 0,-1 1 0,1 0 0,0-1 0,-1 1 0,1 0 0,-1-1 0,1 1 0,-1 0 0,0-1 0,1 1 0,-1 1 0,0-1 0,0-1 0,0 1 0,0 0 0,0-1 0,0 1 0,0 0 0,0-1 0,0 3 0,-1-3 0,1 1 0,0 0 0,-2 1 0,1 2 0,-1-2 0,-1 1 0,1-1 0,0 0 0,0 1 0,-1-1 0,1 0 0,-1-1 0,0 1 0,0-1 0,-4 3 0,-6 3 0,0 0 0,-1-1 0,1-2 0,-19 5 0,-7-7 0,-52-4 0,52-1 0,-53 7 0,85-5 0,1 2 0,0-1 0,0 1 0,0 1 0,0 1 0,0-1 0,0 0 0,0 0 0,1 2 0,-1 0 0,1 0 0,0 2 0,0-2 0,0 2 0,1-1 0,-1 1 0,1 1 0,0-1 0,0 1 0,1 0 0,-1-1 0,1 3 0,0-2 0,1 0 0,-1 2 0,-2 15 0,2-2 0,0-1 0,1 1 0,0-1 0,2 1 0,0 0 0,0 0 0,1-1 0,1 1 0,0 0 0,8 35 0,8 72 0,-15-97 0,2 2 0,0-1 0,12 46 0,-10-50 0,-1-2 0,-1 2 0,0 0 0,-2-1 0,2 58 0,-6 161 0,-2-114 0,4 34 0,-3 148 0,-24-45 0,12-73 0,-1 41 0,11-148 0,-21 161 0,14-162 0,-7 168 0,4-46 0,8-140 0,-1 78 0,8 969 0,1-1038 0,10 85 0,2 78 0,-14-74 0,-2-32 0,5-1 0,13 137 0,-10-226 0,-2-23 0,-1 0 0,-1-1 0,0 1 0,-1 28 0,-1-48 0,0-1 0,-1 1 0,1 0 0,0 0 0,-1 0 0,0-2 0,0 2 0,0 0 0,0-2 0,0 2 0,0-2 0,-1 2 0,1-1 0,-1 1 0,0-2 0,0 0 0,0 1 0,0-1 0,0 0 0,0 1 0,-1-1 0,1-1 0,0 1 0,-1-1 0,0 1 0,1-2 0,-5 3 0,-38 16 0,-49 10 0,11-4 0,14-16 0,58-10 0,-1 2 0,1-1 0,0 1 0,0 1 0,-16 7 0,25-8 0,1-2 0,0 0 0,-1 2 0,1-2 0,-1 1 0,1 1 0,0-2 0,0 1 0,-1 1 0,1 0 0,0-1 0,0 1 0,0 0 0,0-1 0,0 1 0,0 0 0,0-1 0,1 1 0,-1 1 0,0-1 0,1 0 0,-1 1 0,1-1 0,-1-1 0,1 3 0,0-3 0,-1 6 0,2-2 0,-1 0 0,1 2 0,0-3 0,0 1 0,0 0 0,0 0 0,1 0 0,-1 0 0,1-1 0,0 1 0,3 6 0,6 11 0,1-4 0,0 2 0,24 26 0,39 34 0,-59-65 0,0 0 0,-1 0 0,0 3 0,0-2 0,-2 4 0,1 0 0,-1 0 0,-1 3 0,10 22 0,-14-22 0,0 2 0,-2-2 0,0 2 0,-1 2 0,7 49 0,4 139 0,-12-143 0,-1-19 0,0 16 0,19 135 0,-9-118 0,-3 0 0,5 171 0,-16 183 0,-3-169 0,6-228 0,1 0 0,0 2 0,3-2 0,9 48 0,7 57 0,-21-117 0,0 1 0,-1-1 0,-1 3 0,0-3 0,-9 54 0,-1 50 0,-28 349 0,25-336 0,10-85 0,1 74 0,3-95 0,0-1 0,-2 1 0,-1-1 0,-1 1 0,-9 45 0,-6 3 0,-2 3 0,-24 192 0,3-27 0,30-195 0,0 2 0,3 1 0,-5 93 0,1 44 0,-1 57 0,12-46 0,10 419 0,-2-575 0,2 1 0,1-2 0,2 1 0,2-4 0,17 59 0,18 74 0,-43-147 0,0 0 0,-1 0 0,-2 1 0,-1-1 0,0 1 0,-5 54 0,1 12 0,2-44 0,-1-11 0,2 1 0,1-2 0,1 1 0,2-1 0,2 0 0,11 64 0,-8-71 0,-5-22 0,1 0 0,1 1 0,0-3 0,11 31 0,-14-43 0,1-1 0,0 0 0,-1-1 0,2 1 0,-1-2 0,0 0 0,1 1 0,-1-1 0,1-1 0,0 1 0,0-2 0,0 2 0,0-2 0,1-1 0,9 5 0,5-2 0,1-1 0,0 0 0,25-3 0,-22-2 0,-1 2 0,35 11 0,-39-7-227,-1 0-1,1-2 1,-1-1-1,1 0 1,23-6-1,-5-4-6598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16:02.623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946 1 24575,'1'2'0,"-1"-2"0,1 3 0,0-1 0,0 0 0,0-2 0,0 3 0,-1-1 0,1 0 0,0 1 0,-1-1 0,1 0 0,-1 0 0,1 1 0,-1-1 0,0 0 0,1 1 0,-1 1 0,0-1 0,0-1 0,0 0 0,0 1 0,0-1 0,0 0 0,0 1 0,0-1 0,0 3 0,-1-3 0,1 0 0,0 0 0,-2 3 0,1 2 0,-1-2 0,-1-1 0,1 1 0,0 0 0,0-1 0,-1 1 0,1-1 0,-1-1 0,0 1 0,0-1 0,-4 4 0,-6 4 0,0 1 0,-1-3 0,1-2 0,-19 7 0,-7-9 0,-52-8 0,52 1 0,-53 9 0,85-7 0,1 2 0,0 1 0,0-1 0,0 2 0,0 1 0,0 0 0,0-1 0,0 1 0,1 2 0,-1 0 0,1 0 0,0 2 0,0-2 0,0 2 0,1 1 0,-1-1 0,1 2 0,0-1 0,0 1 0,1 1 0,-1-3 0,1 5 0,0-2 0,1-1 0,-1 3 0,-2 21 0,2-3 0,0-2 0,1 3 0,0-3 0,2 2 0,0 1 0,0-1 0,1-2 0,1 3 0,0-1 0,8 49 0,8 100 0,-15-135 0,2 3 0,0-1 0,12 64 0,-10-71 0,-1-1 0,-1 1 0,0 1 0,-2 0 0,2 78 0,-6 228 0,-2-161 0,4 47 0,-3 208 0,-24-64 0,12-100 0,-1 55 0,11-205 0,-21 224 0,14-227 0,-7 236 0,4-64 0,8-198 0,-1 112 0,8 1352 0,1-1449 0,10 117 0,2 110 0,-14-103 0,-2-45 0,5-1 0,13 190 0,-10-315 0,-2-32 0,-1 0 0,-1-1 0,0 1 0,-1 39 0,-1-67 0,0-2 0,-1 2 0,1 0 0,0 0 0,-1 0 0,0-3 0,0 3 0,0 0 0,0-2 0,0 2 0,0-3 0,-1 3 0,1-2 0,-1 2 0,0-3 0,0 1 0,0 0 0,0-1 0,0 1 0,0 0 0,-1-1 0,1-1 0,0 1 0,-1-1 0,0 1 0,1-2 0,-5 3 0,-38 23 0,-49 14 0,11-5 0,14-23 0,58-14 0,-1 2 0,1 0 0,0 0 0,0 3 0,-16 9 0,25-12 0,1-2 0,0 0 0,-1 3 0,1-3 0,-1 2 0,1 0 0,0-2 0,0 3 0,-1-1 0,1 0 0,0 1 0,0-1 0,0 0 0,0 0 0,0 1 0,0-1 0,0 0 0,1 1 0,-1 1 0,0-1 0,1-1 0,-1 3 0,1-3 0,-1 0 0,1 3 0,0-3 0,-1 7 0,2-2 0,-1 0 0,1 3 0,0-3 0,0 0 0,0-1 0,0 1 0,1 0 0,-1 0 0,1-2 0,0 2 0,3 9 0,6 14 0,1-4 0,0 1 0,24 38 0,39 47 0,-59-92 0,0 1 0,-1 0 0,0 5 0,0-3 0,-2 4 0,1 1 0,-1 0 0,-1 4 0,10 31 0,-14-31 0,0 3 0,-2-2 0,0 1 0,-1 3 0,7 70 0,4 194 0,-12-201 0,-1-26 0,0 23 0,19 188 0,-9-165 0,-3 1 0,5 238 0,-16 254 0,-3-233 0,6-320 0,1 1 0,0 1 0,3-2 0,9 68 0,7 78 0,-21-162 0,0 0 0,-1 0 0,-1 2 0,0-2 0,-9 74 0,-1 72 0,-28 487 0,25-471 0,10-118 0,1 104 0,3-134 0,0 0 0,-2 0 0,-1 0 0,-1-1 0,-9 66 0,-6 2 0,-2 5 0,-24 268 0,3-36 0,30-274 0,0 2 0,3 3 0,-5 129 0,1 61 0,-1 80 0,12-64 0,10 586 0,-2-804 0,2 2 0,1-4 0,2 2 0,2-5 0,17 82 0,18 103 0,-43-205 0,0 0 0,-1-1 0,-2 3 0,-1-2 0,0 2 0,-5 74 0,1 18 0,2-62 0,-1-16 0,2 2 0,1-2 0,1 0 0,2-1 0,2 1 0,11 88 0,-8-97 0,-5-33 0,1 0 0,1 2 0,0-4 0,11 44 0,-14-61 0,1-1 0,0-1 0,-1 0 0,2 0 0,-1-2 0,0 0 0,1 3 0,-1-3 0,1-3 0,0 3 0,0-2 0,0 2 0,0-3 0,1-1 0,9 6 0,5-2 0,1 0 0,0-3 0,25-1 0,-22-6 0,-1 6 0,35 13 0,-39-9-227,-1 0-1,1-2 1,-1-3-1,1 0 1,23-6-1,-5-8-6598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17:20.363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946 1 24575,'1'3'0,"-1"-3"0,1 3 0,0-1 0,0 1 0,0-3 0,0 3 0,-1 0 0,1-1 0,0 1 0,-1 0 0,1 0 0,-1-1 0,1 1 0,-1 0 0,0 0 0,1-1 0,-1 4 0,0-3 0,0-1 0,0 1 0,0 0 0,0 0 0,0-1 0,0 1 0,0 0 0,0 2 0,-1-2 0,1 0 0,0 0 0,-2 2 0,1 4 0,-1-4 0,-1 1 0,1-1 0,0 1 0,0-1 0,-1 1 0,1-1 0,-1-2 0,0 2 0,0-2 0,-4 5 0,-6 6 0,0 0 0,-1-3 0,1-3 0,-19 9 0,-7-12 0,-52-7 0,52-1 0,-53 11 0,85-8 0,1 3 0,0 0 0,0-1 0,0 4 0,0-1 0,0 1 0,0 0 0,0-1 0,1 3 0,-1 1 0,1-1 0,0 3 0,0-3 0,0 3 0,1 0 0,-1 0 0,1 3 0,0-3 0,0 3 0,1 0 0,-1-3 0,1 5 0,0-2 0,1 0 0,-1 2 0,-2 26 0,2-4 0,0-2 0,1 3 0,0-3 0,2 2 0,0 1 0,0 0 0,1-4 0,1 4 0,0 0 0,8 57 0,8 119 0,-15-160 0,2 3 0,0 0 0,12 75 0,-10-84 0,-1-2 0,-1 3 0,0 0 0,-2-1 0,2 95 0,-6 269 0,-2-189 0,4 54 0,-3 249 0,-24-77 0,12-119 0,-1 66 0,11-245 0,-21 267 0,14-270 0,-7 281 0,4-77 0,8-234 0,-1 132 0,8 1611 0,1-1727 0,10 141 0,2 129 0,-14-121 0,-2-55 0,5 0 0,13 226 0,-10-375 0,-2-38 0,-1-1 0,-1 0 0,0 1 0,-1 46 0,-1-80 0,0-2 0,-1 2 0,1 0 0,0 1 0,-1-1 0,0-3 0,0 4 0,0-1 0,0-3 0,0 4 0,0-4 0,-1 3 0,1-2 0,-1 2 0,0-2 0,0-1 0,0 1 0,0-1 0,0 1 0,0-1 0,-1 1 0,1-3 0,0 2 0,-1-2 0,0 2 0,1-2 0,-5 3 0,-38 27 0,-49 16 0,11-4 0,14-29 0,58-16 0,-1 3 0,1 0 0,0-1 0,0 4 0,-16 10 0,25-13 0,1-3 0,0 0 0,-1 3 0,1-3 0,-1 3 0,1-1 0,0-2 0,0 3 0,-1 0 0,1 0 0,0 0 0,0-1 0,0 1 0,0 0 0,0 0 0,0-1 0,0 1 0,1 0 0,-1 2 0,0-2 0,1 0 0,-1 2 0,1-2 0,-1 0 0,1 2 0,0-2 0,-1 8 0,2-3 0,-1 1 0,1 2 0,0-3 0,0 0 0,0 1 0,0-1 0,1 0 0,-1 0 0,1-2 0,0 2 0,3 12 0,6 15 0,1-4 0,0 2 0,24 44 0,39 55 0,-59-107 0,0 0 0,-1 0 0,0 5 0,0-2 0,-2 5 0,1 0 0,-1 0 0,-1 6 0,10 35 0,-14-35 0,0 2 0,-2-2 0,0 2 0,-1 3 0,7 83 0,4 232 0,-12-241 0,-1-29 0,0 26 0,19 225 0,-9-197 0,-3 1 0,5 283 0,-16 304 0,-3-279 0,6-380 0,1 0 0,0 2 0,3-2 0,9 80 0,7 93 0,-21-192 0,0-1 0,-1 0 0,-1 4 0,0-4 0,-9 89 0,-1 85 0,-28 579 0,25-559 0,10-141 0,1 124 0,3-161 0,0 1 0,-2 0 0,-1 0 0,-1 0 0,-9 77 0,-6 3 0,-2 6 0,-24 319 0,3-43 0,30-327 0,0 4 0,3 2 0,-5 155 0,1 72 0,-1 96 0,12-78 0,10 699 0,-2-957 0,2 2 0,1-5 0,2 2 0,2-5 0,17 97 0,18 124 0,-43-246 0,0 0 0,-1 0 0,-2 3 0,-1-3 0,0 3 0,-5 88 0,1 23 0,2-75 0,-1-20 0,2 3 0,1-2 0,1-1 0,2 1 0,2-1 0,11 106 0,-8-117 0,-5-38 0,1 0 0,1 2 0,0-4 0,11 51 0,-14-71 0,1-3 0,0 0 0,-1 0 0,2 0 0,-1-3 0,0 1 0,1 2 0,-1-3 0,1-3 0,0 4 0,0-4 0,0 3 0,0-2 0,1-3 0,9 8 0,5-3 0,1 0 0,0-2 0,25-3 0,-22-6 0,-1 6 0,35 16 0,-39-11-227,-1 0-1,1-2 1,-1-3-1,1-1 1,23-7-1,-5-9-6598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2:55.287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931 1 24575,'1'1'0,"-1"-1"0,1 1 0,0 0 0,0-1 0,0 0 0,0 1 0,-1 0 0,1 0 0,0 0 0,-1 0 0,1-1 0,-1 1 0,1 0 0,-1 0 0,0 0 0,1 0 0,-1 0 0,0 0 0,0 0 0,0 0 0,0 0 0,0 0 0,0-1 0,0 1 0,0 0 0,0 1 0,-1-1 0,1 0 0,0-1 0,-2 2 0,1 1 0,-1-2 0,-1 1 0,1 0 0,0-1 0,0 1 0,-1 0 0,1-1 0,-1 0 0,0 1 0,0-1 0,-3 1 0,-7 3 0,0-1 0,-1-1 0,1 0 0,-18 2 0,-7-3 0,-52-3 0,52 0 0,-53 3 0,84-2 0,1 1 0,0 0 0,0 0 0,0 1 0,1-1 0,-1 1 0,0 0 0,0-1 0,1 2 0,-1-1 0,1 1 0,0 0 0,0 0 0,0 0 0,1 1 0,-1-1 0,2 1 0,-1 0 0,0 0 0,1 0 0,-1 0 0,1 1 0,0-1 0,1 0 0,-1 1 0,-2 8 0,2-1 0,0-1 0,1 1 0,0-1 0,2 0 0,0 1 0,0 0 0,1-1 0,1 1 0,0 0 0,8 17 0,8 37 0,-15-49 0,2 1 0,-1 0 0,13 22 0,-10-24 0,-1-2 0,-1 1 0,0 1 0,-2-1 0,2 29 0,-6 83 0,-2-59 0,4 18 0,-3 75 0,-24-23 0,12-36 0,0 20 0,10-76 0,-21 83 0,14-84 0,-6 87 0,3-23 0,8-73 0,-1 41 0,8 494 0,1-529 0,10 42 0,2 41 0,-14-38 0,-2-17 0,5 0 0,12 70 0,-9-115 0,-2-13 0,-1 1 0,-1 0 0,0-1 0,-1 15 0,-1-24 0,0-1 0,-1 0 0,1 1 0,0-1 0,-1 1 0,0-1 0,0 0 0,0 1 0,0-2 0,0 2 0,0-1 0,-1 0 0,1 0 0,-1 0 0,0 0 0,0 0 0,0-1 0,0 1 0,0 0 0,0-1 0,-1 1 0,1-1 0,0 1 0,0-1 0,-1 0 0,1 0 0,-5 1 0,-38 8 0,-47 5 0,10-1 0,14-9 0,57-5 0,0 1 0,0-1 0,0 1 0,0 1 0,-15 3 0,24-4 0,1-1 0,0 0 0,-1 1 0,1-1 0,-1 1 0,1-1 0,0 0 0,0 1 0,-1 0 0,1 0 0,0 0 0,0 0 0,0 0 0,0-1 0,0 1 0,0 0 0,0 0 0,1 0 0,-1 0 0,0 0 0,1 0 0,-1 1 0,1-1 0,-1 0 0,1 0 0,0 0 0,-1 2 0,2 0 0,-1 0 0,1 0 0,0-1 0,0 1 0,0 0 0,0-1 0,1 1 0,-1-1 0,1 0 0,0 0 0,3 4 0,6 5 0,0-1 0,1 0 0,24 13 0,37 18 0,-57-33 0,0-1 0,-1 1 0,-1 1 0,1 0 0,-2 1 0,1 0 0,-1 0 0,-2 2 0,11 11 0,-14-11 0,0 0 0,-2 0 0,0 1 0,-1 0 0,6 26 0,5 71 0,-12-73 0,-1-10 0,0 8 0,19 69 0,-10-60 0,-2 0 0,5 88 0,-16 92 0,-3-85 0,6-117 0,1 0 0,0 0 0,3 0 0,9 25 0,6 28 0,-20-59 0,0 0 0,-1 1 0,-1-1 0,0 1 0,-9 26 0,0 26 0,-29 178 0,25-172 0,11-42 0,0 37 0,3-49 0,0 0 0,-2 0 0,-1 0 0,-1 1 0,-9 22 0,-6 2 0,-1 2 0,-25 97 0,4-13 0,29-100 0,0 1 0,3 1 0,-4 47 0,0 23 0,-1 28 0,12-22 0,10 213 0,-2-294 0,2 2 0,1-2 0,1 0 0,3-1 0,17 30 0,17 37 0,-42-74 0,0-1 0,-1 0 0,-2 1 0,-1 0 0,0 0 0,-5 27 0,1 7 0,2-23 0,-1-5 0,2 0 0,1-1 0,1 0 0,2 0 0,2 1 0,10 31 0,-7-35 0,-5-12 0,1 0 0,1 1 0,0-2 0,11 16 0,-14-22 0,1 0 0,0-1 0,-2 0 0,3 1 0,-1-2 0,0 1 0,1 0 0,-1 0 0,1-2 0,0 2 0,0-1 0,0 0 0,0 0 0,1-1 0,8 2 0,6 0 0,1-1 0,-1 0 0,26-1 0,-23-2 0,0 2 0,34 5 0,-38-4-227,-2 1-1,2-2 1,-1 0-1,1 0 1,22-3-1,-5-2-6598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2:55.288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 0 24575,'0'0'0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4:41.984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0 24388,'2665'2717'0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4:45.24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46 0 24143,'377'662'0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4:56.514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12 24575,'13'-4'0,"25"-2"0,32 5 0,16 2 0,-2 1 0,-2 1 0,-11 3 0,-10 6 0,-14 4 0,-12 5 0,-11 7 0,-6-2 0,-1-1 0,-4 1 0,0-1 0,-2-5-8191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5:00.75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537 0 24575,'0'2'0,"-1"-1"0,1 1 0,-1 0 0,1-1 0,-1 1 0,0-1 0,1 1 0,-1-1 0,0 1 0,0-1 0,0 0 0,0 1 0,-1-1 0,1 0 0,0 0 0,-1 0 0,1 0 0,0 0 0,-1 0 0,1 0 0,-1 0 0,0-1 0,1 1 0,-1 0 0,0-1 0,-3 1 0,-50 10 0,51-11 0,-86 7 0,-136-7 0,99-2 0,140 3 0,0 0 0,0 1 0,0 0 0,-1 1 0,1 1 0,0 0 0,-1 0 0,0 1 0,0 0 0,-1 1 0,0 1 0,0-1 0,0 2 0,-1-1 0,0 1 0,0 1 0,-1 0 0,9 11 0,6 8 0,-2 1 0,-1 2 0,-1 0 0,29 65 0,-36-72-1365,-1-4-5461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5:03.26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315 333 24575,'-4'0'0,"-6"0"0,-5-5 0,-5 0 0,-3-1 0,-1 1 0,-1-3 0,-1 0 0,0 1 0,0 2 0,-4-7 0,0-2 0,-1 2 0,6 2-8191</inkml:trace>
  <inkml:trace contextRef="#ctx0" brushRef="#br0" timeOffset="1482.77">235 0 24575,'0'5'0,"0"10"0,0 7 0,0 4 0,0 11 0,-4 0 0,-2-2 0,1 1 0,1 0 0,1-1 0,-3 1 0,-1-1 0,1-1 0,2-2 0,1-7-8191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5:08.359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1 24575,'1'13'0,"1"-1"0,0 1 0,7 19 0,5 26 0,-12-7 0,-2-38 0,0 1 0,1-1 0,1 0 0,0 0 0,7 19 0,-7-28 0,0 1 0,1-1 0,-1 0 0,1 0 0,0 1 0,1-2 0,-1 1 0,1 0 0,0-1 0,0 1 0,0-1 0,1 0 0,-1 0 0,1-1 0,0 1 0,-1-1 0,2 0 0,9 4 0,4-1 0,1 0 0,0 0 0,30 2 0,-40-6 0,-1 0 0,1-1 0,0 0 0,0 0 0,-1-1 0,1 0 0,0 0 0,-1-1 0,14-4 0,-20 4 0,1 0 0,-1 0 0,0 0 0,0-1 0,0 1 0,0-1 0,0 1 0,-1-1 0,1 0 0,-1 0 0,0 0 0,0 0 0,0 0 0,0-1 0,-1 1 0,0 0 0,0-1 0,0 1 0,0-1 0,0 1 0,0-8 0,0-9 0,-1-1 0,-4-34 0,2 29 0,0-13 0,0-13 0,1 48 0,1 7 0,0 28 0,0 497-1365,0-501-5461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5:38.569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0 24404,'4107'5616'0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5:42.79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0 325 24575,'7'0'0,"1"1"0,-1 0 0,0 0 0,0 0 0,0 1 0,-1 0 0,1 0 0,0 1 0,-1-1 0,1 1 0,-1 1 0,0-1 0,9 8 0,3 3 0,-1 1 0,26 32 0,-5-6 0,-37-40 0,0 0 0,0 1 0,0-1 0,-1 0 0,2 0 0,-1 0 0,0 0 0,0 0 0,0 0 0,0 0 0,1 0 0,-1-1 0,0 1 0,1 0 0,-1-1 0,1 1 0,-1-1 0,1 1 0,-1-1 0,1 0 0,-1 0 0,1 1 0,2-1 0,-3-1 0,0 0 0,0 0 0,-1 0 0,1 0 0,0 0 0,-1-1 0,1 1 0,0 0 0,-1 0 0,0 0 0,1-1 0,-1 1 0,0 0 0,0 0 0,1-1 0,-1 1 0,0 0 0,0 0 0,0-1 0,-1-1 0,0-12 0,-2-1 0,-7-30 0,-58-221 0,66 256-227,0 0-1,0 0 1,1 0-1,1 0 1,2-21-1,5-5-6598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5:45.449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667 32 24575,'-290'-16'0,"22"0"0,256 16 0,0 1 0,0-1 0,0 2 0,-16 2 0,27-4 0,-1 1 0,1-1 0,-1 0 0,1 0 0,-1 1 0,1-1 0,0 1 0,-1-1 0,1 1 0,0 0 0,-1-1 0,1 1 0,0 0 0,0 0 0,0 0 0,0-1 0,0 1 0,0 0 0,0 1 0,0-1 0,0 0 0,0 0 0,1 0 0,-1 0 0,0 1 0,1-1 0,-1 0 0,1 0 0,0 1 0,-1-1 0,1 0 0,0 1 0,0-1 0,0 0 0,0 1 0,0-1 0,0 0 0,0 1 0,1-1 0,-1 0 0,1 1 0,-1-1 0,2 2 0,6 11 0,2 0 0,0-1 0,0-1 0,1 1 0,1-1 0,16 12 0,-11-9 0,-1 1 0,27 33 0,-23-19-682,29 61-1,-35-59-6143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5:52.031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379 263 24575,'0'-4'0,"-4"-3"0,-6 1 0,-10 1 0,-6 1 0,-3 2 0,0 1 0,-5 0 0,0 1 0,1 0 0,-3 1 0,1 4 0,2 2 0,2-1 0,6-1-8191</inkml:trace>
  <inkml:trace contextRef="#ctx0" brushRef="#br0" timeOffset="1091.35">211 1 24575,'0'10'0,"0"8"0,0 6 0,0 4 0,0 7 0,0 3 0,0-1 0,0 4 0,0 0 0,0-3 0,0-2 0,0 2 0,0 0 0,0-1 0,0-8-8191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5:56.216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195 378 24575,'45'2'0,"43"-2"0,-80-1 0,0 0 0,0 0 0,0-1 0,0 0 0,0 0 0,0-1 0,-1 0 0,9-5 0,-13 6 0,0-1 0,-1 1 0,1-1 0,-1 1 0,1-1 0,-1 0 0,0 0 0,0 0 0,0 0 0,-1-1 0,1 1 0,-1-1 0,1 1 0,-1-1 0,0 1 0,0-1 0,0 0 0,-1 1 0,1-7 0,0-8 0,0-1 0,-4-33 0,1 22 0,2 14 0,0 4 0,-1 0 0,1 0 0,-2 0 0,1 0 0,-2 0 0,-3-12 0,5 20 0,-1 1 0,0-1 0,0 1 0,1 0 0,-2 0 0,1 0 0,0 1 0,0-1 0,-1 0 0,0 1 0,1 0 0,-1-1 0,0 1 0,0 0 0,0 1 0,0-1 0,0 1 0,0-1 0,-1 1 0,1 0 0,0 0 0,-1 1 0,1-1 0,-5 0 0,-43-2 0,-1 2 0,-69 9 0,115-8 0,1 1 0,-1 0 0,1 0 0,0 1 0,0-1 0,-1 1 0,1 1 0,0-1 0,0 1 0,1 0 0,-1 0 0,1 0 0,-1 1 0,1 0 0,0 0 0,0 0 0,-4 5 0,4-2 0,0 0 0,0 1 0,0-1 0,1 1 0,0 0 0,0 0 0,1 0 0,0 0 0,0 1 0,1-1 0,-1 13 0,2-14 0,0-1 0,1 1 0,-1-1 0,1 1 0,1-1 0,-1 0 0,1 1 0,0-1 0,1 0 0,-1 0 0,1-1 0,5 10 0,8 9 0,27 33 0,-19-26 0,-18-22 0,-1-1 0,1-1 0,1 1 0,-1-1 0,1-1 0,0 1 0,1-1 0,-1 0 0,1-1 0,0 0 0,0 0 0,1-1 0,-1 0 0,1-1 0,9 3 0,-13-5 0,0 1 0,-1-1 0,0 1 0,1 0 0,-1 1 0,0-1 0,0 1 0,0 0 0,0 0 0,0 0 0,-1 1 0,1-1 0,-1 1 0,0 0 0,0 0 0,0 1 0,-1-1 0,1 0 0,-1 1 0,3 6 0,2 10 0,-1 0 0,-1 0 0,5 37 0,5 18 0,-10-63 0,-2 1 0,0 0 0,0-1 0,-1 2 0,0-1 0,-1 0 0,-2 27 0,0-36 0,1-1 0,-1 1 0,-1-1 0,1 0 0,0 0 0,-1 0 0,0 0 0,0 0 0,0 0 0,0 0 0,-1 0 0,1-1 0,-1 0 0,0 1 0,0-1 0,0 0 0,0-1 0,0 1 0,-1 0 0,1-1 0,-1 0 0,0 0 0,1 0 0,-1-1 0,0 1 0,0-1 0,0 0 0,-7 1 0,-3 1 0,0-1 0,0 0 0,0-1 0,0-1 0,-1 0 0,1-1 0,0-1 0,0 0 0,0-1 0,0-1 0,-24-11 0,31 12 0,1 0 0,-1-1 0,1 0 0,0 0 0,0-1 0,1 0 0,-1 0 0,1 0 0,0-1 0,0 0 0,1 0 0,0 0 0,0 0 0,0-1 0,0 0 0,1 0 0,0 0 0,1 0 0,-1-1 0,1 1 0,0-1 0,1 0 0,0 1 0,0-1 0,0-9 0,3 4 0,-1-1 0,2 1 0,0 0 0,0 0 0,1 1 0,0-1 0,1 1 0,0 0 0,1 0 0,1 1 0,8-13 0,24-53 0,-17 9 0,-15 43 0,1 1 0,16-35 0,-20 53 0,-1-1 0,1 1 0,0 0 0,1 0 0,-1 0 0,1 0 0,0 1 0,0 0 0,1 0 0,-1 1 0,1 0 0,12-7 0,6-1-1365,-1 2-5461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6:23.176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0 24379,'4048'2890'0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6:26.659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0 273 24575,'49'2'0,"48"9"0,-56-5 0,73 0 0,-113-6 0,0 0 0,-1 0 0,1 0 0,0 0 0,-1 0 0,1 0 0,0 0 0,-1-1 0,1 1 0,-1 0 0,1 0 0,0-1 0,-1 1 0,1 0 0,-1-1 0,1 1 0,-1 0 0,1-1 0,-1 1 0,1-1 0,-1 1 0,1-1 0,-1 1 0,0-1 0,1 0 0,-1 1 0,0-1 0,1 1 0,-1-1 0,0 0 0,0 1 0,0-1 0,0 0 0,1 1 0,-1-1 0,0 0 0,0 1 0,0-1 0,0 0 0,-1 1 0,1-1 0,0 1 0,0-1 0,0 0 0,0 1 0,-1-1 0,1 0 0,0 1 0,-1-1 0,1 1 0,0-1 0,-1 1 0,0-2 0,-26-44 0,15 27 0,-5-19 8,-14-47-1,14 34-1387,6 19-5446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6:29.09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618 0 24575,'-282'13'0,"95"-2"0,182-11 0,-9 0 0,0 1 0,-1 1 0,1 0 0,-25 7 0,36-9 0,1 1 0,-1 0 0,1 0 0,-1 0 0,1 1 0,-1-1 0,1 0 0,0 1 0,0 0 0,0-1 0,0 1 0,0 0 0,0 0 0,0 0 0,0 0 0,1 1 0,-1-1 0,1 0 0,0 1 0,0-1 0,0 1 0,0-1 0,0 1 0,0 0 0,1-1 0,-1 1 0,1 0 0,0-1 0,0 1 0,0 0 0,0 5 0,2 1 0,0 1 0,0-1 0,1 0 0,1 0 0,-1 0 0,1 0 0,1 0 0,5 7 0,52 69 0,-29-41 0,-30-40-43,16 21-288,-1 2 1,-2 0-1,16 33 1,-18-25-6496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6:31.054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428 307 24575,'-9'-4'0,"-7"-2"0,-13 1 0,-16 1 0,-8-4 0,0-4 0,5 0 0,6 2 0,6 2 0,1 3 0,1 2 0,7 2-8191</inkml:trace>
  <inkml:trace contextRef="#ctx0" brushRef="#br0" timeOffset="1670.26">290 1 24575,'0'4'0,"0"10"0,0 7 0,0 5 0,0 1 0,0 5 0,0 1 0,0 0 0,0-2 0,0 3 0,0-1 0,0-2 0,0 4 0,0-2 0,0 0 0,0-3 0,0 2 0,0-3-8191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6:36.134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56 24575,'1'39'0,"1"1"0,11 53 0,-8-57 0,-1 0 0,-2 1 0,-1-1 0,-6 47 0,5-81 0,-1 1 0,1 0 0,0 0 0,0-1 0,1 1 0,-1 0 0,1 0 0,-1-1 0,1 1 0,0 0 0,0-1 0,0 1 0,0 0 0,0-1 0,1 0 0,-1 1 0,1-1 0,0 0 0,-1 0 0,1 0 0,4 4 0,-1-3 0,-1 0 0,1-1 0,0 1 0,0-1 0,0 0 0,0 0 0,0 0 0,0-1 0,1 0 0,-1 0 0,6 0 0,-2 0 0,0-1 0,0 0 0,-1 0 0,1-1 0,0 0 0,0 0 0,-1-1 0,1 0 0,-1-1 0,1 0 0,-1 0 0,0-1 0,0 0 0,10-7 0,-8 1 0,-1 0 0,-1 0 0,0-1 0,0 0 0,-1-1 0,-1 0 0,0 0 0,0 0 0,-1 0 0,-1-1 0,0 0 0,-1 0 0,0 0 0,1-17 0,1-26 0,-3-1 0,-4-61 0,0 40 0,2 957-1365,0-849-5461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7:08.394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0 24420,'2395'2889'0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7:11.64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0 263 24575,'10'1'0,"-1"-1"0,0 2 0,0-1 0,0 1 0,0 0 0,0 1 0,0 0 0,0 1 0,-1 0 0,0 0 0,0 1 0,0 0 0,0 1 0,11 10 0,4 6 0,-2 2 0,-1 0 0,19 30 0,-17-24 0,34 38 0,-49-62 0,0-1 0,0 0 0,0 0 0,1-1 0,0 0 0,0 0 0,0-1 0,0 0 0,0 0 0,1-1 0,-1 0 0,1-1 0,-1 0 0,12 0 0,-15-1 0,0 1 0,0-1 0,0-1 0,0 1 0,1-1 0,-1 0 0,0 0 0,-1 0 0,1-1 0,0 0 0,0 0 0,-1 0 0,1 0 0,-1-1 0,1 0 0,-1 0 0,0 0 0,0-1 0,0 1 0,-1-1 0,1 0 0,-1 0 0,0 0 0,0-1 0,2-4 0,-3 4 0,-1 0 0,1-1 0,-1 1 0,-1 0 0,1 0 0,-1-1 0,0 1 0,0 0 0,0-1 0,-1 1 0,-1-7 0,-18-63 0,11 46 0,-86-263-1365,73 229-5461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7:14.699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686 112 23892,'-685'-111'0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7:17.25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0 24575,'0'7'0,"0"7"0,0 8 0,0 11 0,0 7 0,0 14 0,0 5 0,0 3 0,5 3 0,7-8 0,2-3 0,-2-5 0,-3-4 0,-3-10-8191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7:20.02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616 399 24575,'0'6'0,"-12"2"0,-9 0 0,-20-2 0,-20-2 0,-11-1 0,-12-2 0,3 0 0,9-1 0,5-1 0,8 1 0,14 0-8191</inkml:trace>
  <inkml:trace contextRef="#ctx0" brushRef="#br0" timeOffset="1104.77">90 130 24575,'6'0'0,"1"12"0,7 15 0,0 10 0,-3 4 0,-2 2 0,-3 4 0,-3 1 0,-2-2 0,0-2 0,-2 2 0,1 0 0,-1-2 0,1 4 0,-1-1 0,1-2 0,0-9-8191</inkml:trace>
  <inkml:trace contextRef="#ctx0" brushRef="#br0" timeOffset="3589">811 13 24575,'-1'86'0,"3"99"0,-2-181 0,1 0 0,-1 0 0,1-1 0,0 1 0,0 0 0,0 0 0,0-1 0,1 1 0,-1-1 0,1 1 0,0-1 0,0 0 0,0 0 0,0 0 0,1 0 0,-1 0 0,1 0 0,0 0 0,0-1 0,0 0 0,0 1 0,0-1 0,0 0 0,1-1 0,-1 1 0,1 0 0,-1-1 0,1 0 0,7 2 0,8-1 0,0 0 0,0 0 0,0-2 0,37-4 0,-19 2 0,41 6 0,11 1 0,-83-5 0,1 0 0,-1-1 0,0 0 0,1 0 0,-1-1 0,0 0 0,0 0 0,0 0 0,0-1 0,9-6 0,-11 7 0,-1-1 0,1-1 0,-1 1 0,0 0 0,0-1 0,0 1 0,-1-1 0,1 0 0,-1 0 0,0 0 0,0 0 0,0 0 0,-1-1 0,1 1 0,-1-1 0,1-4 0,0-9 0,0-1 0,-2-33 0,2-11 0,10 7 0,1-9 0,-13 65 0,1-1 0,-1 1 0,0-1 0,0 1 0,0 0 0,0-1 0,0 1 0,0-1 0,0 1 0,0-1 0,0 1 0,0 0 0,0-1 0,0 1 0,0-1 0,-1 1 0,1-1 0,0 1 0,0 0 0,0-1 0,-1 1 0,1 0 0,0-1 0,0 1 0,-1 0 0,1-1 0,0 1 0,-1 0 0,1-1 0,0 1 0,-1 0 0,1 0 0,0-1 0,-1 1 0,1 0 0,-1 0 0,1 0 0,0 0 0,-1 0 0,1-1 0,-1 1 0,1 0 0,0 0 0,-1 0 0,1 0 0,-1 0 0,1 0 0,-1 1 0,1-1 0,0 0 0,-1 0 0,1 0 0,-1 0 0,1 0 0,0 0 0,-1 1 0,1-1 0,-1 0 0,1 0 0,0 1 0,-1-1 0,1 0 0,0 1 0,0-1 0,-1 0 0,1 1 0,-24 23 0,10 5 0,0 1 0,3 0 0,0 1 0,2 1 0,1-1 0,-5 46 0,-10 39 0,9-41-92,3 0 0,4 1 0,3 0 0,5 82-1,0-82-811,0-37-5922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9:49.734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0 24478,'5430'5803'0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9:53.02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1 275 24575,'41'-1'0,"-22"0"0,1 0 0,0 2 0,0 0 0,0 2 0,36 9 0,1 7 0,-1 2 0,-1 3 0,-2 3 0,0 1 0,-2 4 0,-1 1 0,46 40 0,-88-65 0,1-1 0,0-1 0,0 0 0,14 7 0,-23-12 0,1-1 0,0 0 0,-1 1 0,1-1 0,0 0 0,-1 0 0,1 0 0,0 1 0,0-1 0,-1 0 0,1 0 0,0 0 0,0 0 0,-1 0 0,1 0 0,0 0 0,0 0 0,-1-1 0,1 1 0,0 0 0,0 0 0,-1-1 0,1 1 0,0 0 0,-1-1 0,2 0 0,-1-1 0,-1 0 0,1 1 0,-1-1 0,1 0 0,-1 0 0,0 0 0,1 1 0,-1-1 0,0 0 0,0 0 0,-1 0 0,1 0 0,0 1 0,0-1 0,-1 0 0,1 0 0,-2-1 0,-6-22 0,-1 1 0,-1 0 0,-1 0 0,-16-24 0,15 28 0,1 0 0,1 0 0,1-1 0,0-1 0,2 1 0,-7-32 0,9-21 12,5 61-165,0-1 0,0 1 0,-2 1 0,1-1 0,-2 0 0,0 0 0,0 1 0,-6-15 0,-6 2-6673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9:56.899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1012 297 24575,'-14'-14'0,"0"0"0,-1 1 0,-1 1 0,0 1 0,0 0 0,-1 1 0,0 1 0,-1 1 0,0 1 0,0 0 0,-25-5 0,-14 2 0,0 3 0,-82 0 0,81 5 0,25-2 0,0-2 0,1-2 0,-1-1 0,1-2 0,-42-20 0,23 10 0,12 3 0,-22-10 0,57 26 0,0 1 0,0 0 0,0 0 0,0 0 0,0 1 0,0-1 0,-1 1 0,1 0 0,0 1 0,0-1 0,-8 2 0,10-1 0,0 0 0,0 0 0,0 0 0,0 0 0,0 1 0,1-1 0,-1 0 0,0 1 0,1-1 0,-1 1 0,1 0 0,-1 0 0,1-1 0,0 1 0,-1 0 0,1 0 0,0 0 0,1 1 0,-1-1 0,0 0 0,0 0 0,1 0 0,-1 1 0,1-1 0,0 0 0,-1 1 0,1-1 0,1 4 0,-1-1 0,0 0 0,1-1 0,-1 1 0,1-1 0,0 1 0,1-1 0,-1 1 0,1-1 0,0 0 0,-1 1 0,2-1 0,-1 0 0,4 5 0,16 14 0,1 0 0,0-2 0,31 21 0,-25-20 0,50 49 0,-53-43-136,-2 1-1,-1 1 1,-1 1-1,-1 1 1,-2 1-1,-1 1 1,-2 1-1,0 0 0,19 71 1,-25-64-6690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39:59.28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734 449 24575,'-12'0'0,"-22"0"0,-11 0 0,-10 0 0,-2-12 0,3-4 0,-1 0 0,2 4 0,5 3 0,-2 4 0,2 2 0,3 2 0,3 1 0,-9 0 0,3-5 0,11-2-8191</inkml:trace>
  <inkml:trace contextRef="#ctx0" brushRef="#br0" timeOffset="1773.77">416 1 24575,'0'6'0,"0"8"0,0 14 0,0 8 0,0 4 0,0 8 0,0 1 0,0-2 0,0-1 0,0 2 0,0-1 0,0-2 0,6-2 0,2 3 0,-1 0 0,-1-2 0,5-2 0,0-8-8191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40:04.576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363 465 24575,'10'0'0,"0"0"0,0 0 0,0-1 0,-1 0 0,1-1 0,0 0 0,0-1 0,-1 0 0,0 0 0,0-1 0,0 0 0,0-1 0,0 0 0,-1 0 0,0-1 0,0 0 0,0 0 0,-1-1 0,0 0 0,0-1 0,-1 1 0,0-1 0,0 0 0,-1-1 0,0 1 0,0-1 0,-1 0 0,0 0 0,2-12 0,0 3 0,-2-1 0,0 0 0,-1-1 0,1-29 0,-4 39 0,0 1 0,0-1 0,-1 1 0,0-1 0,-1 1 0,0-1 0,0 1 0,-1 0 0,0 0 0,-1 0 0,-5-9 0,6 14 0,-1 0 0,0 0 0,0 0 0,0 0 0,0 1 0,-1 0 0,1-1 0,-1 2 0,0-1 0,0 0 0,0 1 0,0 0 0,-1 1 0,1-1 0,0 1 0,-1 0 0,-8-1 0,-12 0 0,0 0 0,-38 4 0,38 0 0,6-2 0,0 2 0,1 0 0,-1 1 0,1 1 0,0 1 0,0 1 0,0 1 0,1 0 0,0 1 0,0 1 0,1 1 0,0 0 0,0 1 0,-26 25 0,37-28 0,0 0 0,1 0 0,0 0 0,0 1 0,1 0 0,0 0 0,1 0 0,0 0 0,0 0 0,1 1 0,1 0 0,-1-1 0,1 14 0,0-1 0,1 0 0,1 0 0,1 0 0,8 38 0,-7-51 0,0 1 0,0-1 0,1 0 0,0 0 0,0 0 0,1-1 0,1 1 0,-1-1 0,1-1 0,11 12 0,4 1 0,1-2 0,31 21 0,-32-25 0,-1 1 0,0 0 0,33 36 0,-18-7 0,-2 1 0,-1 1 0,32 66 0,-48-79 0,-1 0 0,-2 1 0,-1 1 0,-2 0 0,-1 0 0,4 43 0,-12-73 0,0-1 0,-1 0 0,1 1 0,-1-1 0,0 1 0,0-1 0,-1 1 0,1-1 0,-1 0 0,0 1 0,0-1 0,-1 0 0,1 0 0,-1 0 0,0 0 0,0 0 0,0 0 0,-1 0 0,1-1 0,-1 1 0,0-1 0,0 0 0,0 0 0,0 0 0,-1 0 0,1 0 0,-1-1 0,0 1 0,0-1 0,0 0 0,0 0 0,0-1 0,0 1 0,0-1 0,0 0 0,-1 0 0,1 0 0,-6 0 0,-2 1 0,-1-1 0,0 0 0,0 0 0,0-2 0,0 1 0,0-2 0,0 1 0,0-2 0,1 0 0,-21-7 0,27 7 0,0 0 0,0-1 0,0 1 0,0-1 0,1 0 0,-1-1 0,1 1 0,0-1 0,0 0 0,1 0 0,-1-1 0,1 1 0,1-1 0,-1 0 0,1 0 0,0 0 0,0-1 0,1 1 0,-1-1 0,2 1 0,-3-12 0,0 0 0,2 1 0,0 0 0,0-1 0,2 1 0,0 0 0,1-1 0,1 1 0,0-1 0,1 1 0,1 0 0,1 0 0,1 1 0,0-1 0,1 1 0,0 1 0,2-1 0,-1 1 0,2 1 0,20-24 0,-14 21 0,-1-1 0,0 0 0,-1-1 0,-1 0 0,-1-1 0,0 0 0,-2-1 0,0-1 0,-1 0 0,-2 0 0,0 0 0,-1-1 0,-2 0 0,0 0 0,1-46 0,-5-7-1365,-1 44-5461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40:30.342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0 24575,'0'0'-8191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41:00.490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1 266 24575,'40'-1'0,"-20"0"0,-1 1 0,1 0 0,0 2 0,-1 0 0,37 10 0,0 6 0,0 3 0,-2 2 0,-1 2 0,-1 3 0,-1 2 0,-2 3 0,46 38 0,-87-64 0,0-1 0,1 1 0,0-1 0,14 6 0,-22-11 0,-1-1 0,1 0 0,0 1 0,-1-1 0,1 0 0,0 0 0,-1 1 0,1-1 0,0 0 0,0 0 0,-1 0 0,1 0 0,0 0 0,0 0 0,-1 0 0,1 0 0,0 0 0,0-1 0,-1 1 0,1 0 0,0 0 0,-1-1 0,1 1 0,0 0 0,-1-1 0,2 0 0,-1-1 0,-1 1 0,1-1 0,-1 0 0,1 1 0,-1-1 0,0 0 0,1 0 0,-1 0 0,0 1 0,0-1 0,-1 0 0,1 0 0,0 1 0,0-1 0,-1 0 0,1 0 0,-2-1 0,-6-21 0,0 0 0,-2 1 0,-1 1 0,-16-25 0,15 28 0,1-1 0,1 0 0,1 0 0,1 0 0,0-1 0,-6-30 0,10-21 12,4 59-165,0 0 0,-1 1 0,0-1 0,-1 1 0,0-1 0,-1 1 0,0 0 0,-6-14 0,-6 2-6673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43:03.227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0 24178,'3885'2783'0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43:06.704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682 125 24575,'-17'-1'0,"0"-1"0,1 0 0,-24-8 0,-23-2 0,-23 1 0,-99-24 0,-59-15 0,244 50 0,0 0 0,-1 0 0,1 0 0,0-1 0,0 1 0,-1 0 0,1 0 0,0 0 0,-1 0 0,1-1 0,-1 1 0,1 0 0,0 0 0,-1 0 0,1 0 0,0 0 0,-1 0 0,1 0 0,0 0 0,-1 0 0,1 0 0,-1 0 0,1 0 0,0 0 0,-1 1 0,1-1 0,0 0 0,-1 0 0,1 0 0,0 0 0,-1 1 0,1-1 0,0 0 0,0 0 0,-1 0 0,1 1 0,0-1 0,0 0 0,-1 1 0,1-1 0,0 0 0,0 1 0,0-1 0,0 0 0,-1 1 0,13 18 0,31 21 0,-41-39 0,33 30 0,20 15 0,76 83 0,-115-107 0,-1 1 0,-2 0 0,0 1 0,-1 1 0,-1 0 0,12 43 0,-13-25-14,-8-33-179,0 1 0,1-1 0,0 1 0,1-1 0,0 0 0,6 11 0,5 1-6633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43:08.185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563 0 23892,'-563'0'0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43:09.333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2 24575,'4'-1'0,"-1"1"0,1 0 0,0 0 0,0 0 0,0 0 0,-1 1 0,1-1 0,0 1 0,-1 0 0,1 0 0,-1 1 0,1-1 0,-1 1 0,1-1 0,-1 1 0,0 0 0,0 0 0,0 0 0,0 1 0,0-1 0,0 1 0,-1-1 0,1 1 0,-1 0 0,0 0 0,0 0 0,0 0 0,0 1 0,-1-1 0,1 0 0,-1 1 0,2 6 0,5 28 0,-2 0 0,-1 0 0,-2 1 0,-2-1 0,-6 64 0,1-16 0,3-36-106,-1-5-313,2 1-1,8 51 0,0-54-6406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03T02:43:11.426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77 0 24575,'-1'8'0,"0"-1"0,-1 1 0,0-1 0,0 1 0,-1-1 0,0 0 0,0 0 0,-5 7 0,-9 25 0,8-8 0,1-1 0,2 1 0,1 0 0,1 0 0,2 1 0,1-1 0,7 60 0,-4-82 0,0-1 0,0 0 0,0 0 0,1 0 0,0 0 0,1 0 0,0 0 0,0-1 0,1 0 0,0 0 0,0 0 0,1 0 0,0-1 0,0 0 0,0 0 0,1 0 0,0-1 0,15 9 0,7 1 0,0-1 0,1-1 0,55 15 0,-61-21 0,-1 1 0,1-1 0,0-1 0,0-1 0,35 3 0,-53-8 0,0 0 0,0 0 0,0 0 0,0 0 0,0-1 0,0 0 0,-1-1 0,1 1 0,0-1 0,0 0 0,-1 0 0,0-1 0,1 0 0,-1 0 0,0 0 0,0 0 0,-1-1 0,1 1 0,-1-1 0,1-1 0,-1 1 0,-1 0 0,1-1 0,3-5 0,0-6 0,0 0 0,-1 0 0,-1 0 0,0-1 0,-1 0 0,-1 1 0,1-20 0,-2 16 0,1 0 0,0 1 0,2-1 0,1 1 0,8-20 0,-1 13 0,-3 7 0,-1-1 0,-1 1 0,8-27 0,-16 29 0,-7 15 0,-20 22 0,5 7 0,0 1 0,2 1 0,1 1 0,1 0 0,2 2 0,1 0 0,1 0 0,-14 57 0,13-29 0,3 1 0,3-1 0,3 2 0,1 71 0,3-100-191,-1-1-1,-2 0 0,-1 0 1,-2 0-1,-13 34 1,19-60-25,-8 29-6610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3CB10-A1E6-442E-9008-831DB3446181}">
  <dimension ref="A1:W96"/>
  <sheetViews>
    <sheetView workbookViewId="0">
      <selection sqref="A1:XFD1048576"/>
    </sheetView>
  </sheetViews>
  <sheetFormatPr defaultRowHeight="14.4" x14ac:dyDescent="0.3"/>
  <sheetData>
    <row r="1" spans="1:23" x14ac:dyDescent="0.3">
      <c r="A1" s="9" t="s">
        <v>37</v>
      </c>
      <c r="D1" s="9" t="s">
        <v>38</v>
      </c>
      <c r="F1" s="9" t="s">
        <v>40</v>
      </c>
      <c r="I1" s="9" t="s">
        <v>39</v>
      </c>
      <c r="L1" s="9" t="s">
        <v>41</v>
      </c>
      <c r="O1" s="9" t="s">
        <v>42</v>
      </c>
      <c r="S1" s="9" t="s">
        <v>43</v>
      </c>
      <c r="V1" s="9" t="s">
        <v>38</v>
      </c>
    </row>
    <row r="2" spans="1:23" x14ac:dyDescent="0.3">
      <c r="A2">
        <v>1</v>
      </c>
      <c r="D2">
        <f t="shared" ref="D2:D33" si="0">A2/3</f>
        <v>0.33333333333333331</v>
      </c>
      <c r="F2">
        <f>A2/5</f>
        <v>0.2</v>
      </c>
      <c r="I2">
        <f>A2/7</f>
        <v>0.14285714285714285</v>
      </c>
      <c r="L2">
        <f>A2/11</f>
        <v>9.0909090909090912E-2</v>
      </c>
      <c r="O2">
        <f>A2/13</f>
        <v>7.6923076923076927E-2</v>
      </c>
      <c r="S2">
        <f>A2/9</f>
        <v>0.1111111111111111</v>
      </c>
      <c r="W2">
        <f t="shared" ref="W2:W33" si="1">Q2/3</f>
        <v>0</v>
      </c>
    </row>
    <row r="3" spans="1:23" x14ac:dyDescent="0.3">
      <c r="A3">
        <v>2</v>
      </c>
      <c r="D3">
        <f t="shared" si="0"/>
        <v>0.66666666666666663</v>
      </c>
      <c r="F3">
        <f t="shared" ref="F3:F66" si="2">A3/5</f>
        <v>0.4</v>
      </c>
      <c r="I3">
        <f t="shared" ref="I3:I66" si="3">A3/7</f>
        <v>0.2857142857142857</v>
      </c>
      <c r="L3">
        <f t="shared" ref="L3:L66" si="4">A3/11</f>
        <v>0.18181818181818182</v>
      </c>
      <c r="O3">
        <f t="shared" ref="O3:O66" si="5">A3/13</f>
        <v>0.15384615384615385</v>
      </c>
      <c r="S3">
        <f t="shared" ref="S3:S66" si="6">A3/9</f>
        <v>0.22222222222222221</v>
      </c>
      <c r="W3">
        <f t="shared" si="1"/>
        <v>0</v>
      </c>
    </row>
    <row r="4" spans="1:23" x14ac:dyDescent="0.3">
      <c r="A4">
        <v>3</v>
      </c>
      <c r="C4" s="1">
        <v>3</v>
      </c>
      <c r="D4">
        <f t="shared" si="0"/>
        <v>1</v>
      </c>
      <c r="F4">
        <f t="shared" si="2"/>
        <v>0.6</v>
      </c>
      <c r="I4">
        <f t="shared" si="3"/>
        <v>0.42857142857142855</v>
      </c>
      <c r="L4">
        <f t="shared" si="4"/>
        <v>0.27272727272727271</v>
      </c>
      <c r="O4">
        <f t="shared" si="5"/>
        <v>0.23076923076923078</v>
      </c>
      <c r="S4">
        <f t="shared" si="6"/>
        <v>0.33333333333333331</v>
      </c>
      <c r="V4" s="1">
        <v>3</v>
      </c>
      <c r="W4">
        <f t="shared" si="1"/>
        <v>0</v>
      </c>
    </row>
    <row r="5" spans="1:23" x14ac:dyDescent="0.3">
      <c r="A5">
        <v>4</v>
      </c>
      <c r="C5" s="6">
        <v>1</v>
      </c>
      <c r="D5">
        <f t="shared" si="0"/>
        <v>1.3333333333333333</v>
      </c>
      <c r="F5">
        <f t="shared" si="2"/>
        <v>0.8</v>
      </c>
      <c r="I5">
        <f t="shared" si="3"/>
        <v>0.5714285714285714</v>
      </c>
      <c r="L5">
        <f t="shared" si="4"/>
        <v>0.36363636363636365</v>
      </c>
      <c r="O5">
        <f t="shared" si="5"/>
        <v>0.30769230769230771</v>
      </c>
      <c r="S5">
        <f t="shared" si="6"/>
        <v>0.44444444444444442</v>
      </c>
      <c r="V5" s="6">
        <v>1</v>
      </c>
      <c r="W5">
        <f t="shared" si="1"/>
        <v>0</v>
      </c>
    </row>
    <row r="6" spans="1:23" x14ac:dyDescent="0.3">
      <c r="A6">
        <v>5</v>
      </c>
      <c r="C6" s="6">
        <v>2</v>
      </c>
      <c r="D6">
        <f t="shared" si="0"/>
        <v>1.6666666666666667</v>
      </c>
      <c r="E6" s="2">
        <v>5</v>
      </c>
      <c r="F6">
        <f t="shared" si="2"/>
        <v>1</v>
      </c>
      <c r="I6">
        <f t="shared" si="3"/>
        <v>0.7142857142857143</v>
      </c>
      <c r="L6">
        <f t="shared" si="4"/>
        <v>0.45454545454545453</v>
      </c>
      <c r="O6">
        <f t="shared" si="5"/>
        <v>0.38461538461538464</v>
      </c>
      <c r="S6">
        <f t="shared" si="6"/>
        <v>0.55555555555555558</v>
      </c>
      <c r="V6" s="6">
        <v>2</v>
      </c>
      <c r="W6">
        <f t="shared" si="1"/>
        <v>0</v>
      </c>
    </row>
    <row r="7" spans="1:23" x14ac:dyDescent="0.3">
      <c r="A7">
        <v>6</v>
      </c>
      <c r="C7" s="6">
        <v>3</v>
      </c>
      <c r="D7">
        <f t="shared" si="0"/>
        <v>2</v>
      </c>
      <c r="E7" s="6">
        <v>1</v>
      </c>
      <c r="F7">
        <f t="shared" si="2"/>
        <v>1.2</v>
      </c>
      <c r="I7">
        <f t="shared" si="3"/>
        <v>0.8571428571428571</v>
      </c>
      <c r="L7">
        <f t="shared" si="4"/>
        <v>0.54545454545454541</v>
      </c>
      <c r="O7">
        <f t="shared" si="5"/>
        <v>0.46153846153846156</v>
      </c>
      <c r="S7">
        <f t="shared" si="6"/>
        <v>0.66666666666666663</v>
      </c>
      <c r="V7" s="6">
        <v>3</v>
      </c>
      <c r="W7">
        <f t="shared" si="1"/>
        <v>0</v>
      </c>
    </row>
    <row r="8" spans="1:23" x14ac:dyDescent="0.3">
      <c r="A8">
        <v>7</v>
      </c>
      <c r="C8" s="6">
        <v>4</v>
      </c>
      <c r="D8">
        <f t="shared" si="0"/>
        <v>2.3333333333333335</v>
      </c>
      <c r="E8" s="6">
        <v>2</v>
      </c>
      <c r="F8">
        <f t="shared" si="2"/>
        <v>1.4</v>
      </c>
      <c r="H8" s="3">
        <v>7</v>
      </c>
      <c r="I8">
        <f t="shared" si="3"/>
        <v>1</v>
      </c>
      <c r="L8">
        <f t="shared" si="4"/>
        <v>0.63636363636363635</v>
      </c>
      <c r="O8">
        <f t="shared" si="5"/>
        <v>0.53846153846153844</v>
      </c>
      <c r="S8">
        <f t="shared" si="6"/>
        <v>0.77777777777777779</v>
      </c>
      <c r="V8" s="6">
        <v>4</v>
      </c>
      <c r="W8">
        <f t="shared" si="1"/>
        <v>0</v>
      </c>
    </row>
    <row r="9" spans="1:23" x14ac:dyDescent="0.3">
      <c r="A9">
        <v>8</v>
      </c>
      <c r="C9" s="6">
        <v>5</v>
      </c>
      <c r="D9">
        <f t="shared" si="0"/>
        <v>2.6666666666666665</v>
      </c>
      <c r="E9" s="6">
        <v>3</v>
      </c>
      <c r="F9">
        <f t="shared" si="2"/>
        <v>1.6</v>
      </c>
      <c r="H9" s="6">
        <v>1</v>
      </c>
      <c r="I9">
        <f t="shared" si="3"/>
        <v>1.1428571428571428</v>
      </c>
      <c r="L9">
        <f t="shared" si="4"/>
        <v>0.72727272727272729</v>
      </c>
      <c r="O9">
        <f t="shared" si="5"/>
        <v>0.61538461538461542</v>
      </c>
      <c r="S9">
        <f t="shared" si="6"/>
        <v>0.88888888888888884</v>
      </c>
      <c r="V9" s="6">
        <v>5</v>
      </c>
      <c r="W9">
        <f t="shared" si="1"/>
        <v>0</v>
      </c>
    </row>
    <row r="10" spans="1:23" x14ac:dyDescent="0.3">
      <c r="A10">
        <v>9</v>
      </c>
      <c r="C10" s="1" t="s">
        <v>0</v>
      </c>
      <c r="D10">
        <f t="shared" si="0"/>
        <v>3</v>
      </c>
      <c r="E10" s="6">
        <v>4</v>
      </c>
      <c r="F10">
        <f t="shared" si="2"/>
        <v>1.8</v>
      </c>
      <c r="H10" s="6">
        <v>2</v>
      </c>
      <c r="I10">
        <f t="shared" si="3"/>
        <v>1.2857142857142858</v>
      </c>
      <c r="L10">
        <f t="shared" si="4"/>
        <v>0.81818181818181823</v>
      </c>
      <c r="O10">
        <f t="shared" si="5"/>
        <v>0.69230769230769229</v>
      </c>
      <c r="R10" s="8">
        <v>9</v>
      </c>
      <c r="S10">
        <f t="shared" si="6"/>
        <v>1</v>
      </c>
      <c r="V10" s="1" t="s">
        <v>0</v>
      </c>
      <c r="W10">
        <f t="shared" si="1"/>
        <v>0</v>
      </c>
    </row>
    <row r="11" spans="1:23" x14ac:dyDescent="0.3">
      <c r="A11">
        <v>10</v>
      </c>
      <c r="D11">
        <f t="shared" si="0"/>
        <v>3.3333333333333335</v>
      </c>
      <c r="E11" s="6">
        <v>5</v>
      </c>
      <c r="F11">
        <f t="shared" si="2"/>
        <v>2</v>
      </c>
      <c r="H11" s="6">
        <v>3</v>
      </c>
      <c r="I11">
        <f t="shared" si="3"/>
        <v>1.4285714285714286</v>
      </c>
      <c r="L11">
        <f t="shared" si="4"/>
        <v>0.90909090909090906</v>
      </c>
      <c r="O11">
        <f t="shared" si="5"/>
        <v>0.76923076923076927</v>
      </c>
      <c r="R11" s="5">
        <v>1</v>
      </c>
      <c r="S11">
        <f t="shared" si="6"/>
        <v>1.1111111111111112</v>
      </c>
      <c r="W11">
        <f t="shared" si="1"/>
        <v>0</v>
      </c>
    </row>
    <row r="12" spans="1:23" x14ac:dyDescent="0.3">
      <c r="A12">
        <v>11</v>
      </c>
      <c r="D12">
        <f t="shared" si="0"/>
        <v>3.6666666666666665</v>
      </c>
      <c r="E12" s="6">
        <v>6</v>
      </c>
      <c r="F12">
        <f t="shared" si="2"/>
        <v>2.2000000000000002</v>
      </c>
      <c r="H12" s="6">
        <v>4</v>
      </c>
      <c r="I12">
        <f t="shared" si="3"/>
        <v>1.5714285714285714</v>
      </c>
      <c r="K12" s="4">
        <v>11</v>
      </c>
      <c r="L12">
        <f t="shared" si="4"/>
        <v>1</v>
      </c>
      <c r="O12">
        <f t="shared" si="5"/>
        <v>0.84615384615384615</v>
      </c>
      <c r="R12" s="5">
        <v>2</v>
      </c>
      <c r="S12">
        <f t="shared" si="6"/>
        <v>1.2222222222222223</v>
      </c>
      <c r="W12">
        <f t="shared" si="1"/>
        <v>0</v>
      </c>
    </row>
    <row r="13" spans="1:23" x14ac:dyDescent="0.3">
      <c r="A13">
        <v>12</v>
      </c>
      <c r="D13">
        <f t="shared" si="0"/>
        <v>4</v>
      </c>
      <c r="E13" s="6">
        <v>7</v>
      </c>
      <c r="F13">
        <f t="shared" si="2"/>
        <v>2.4</v>
      </c>
      <c r="H13" s="6">
        <v>5</v>
      </c>
      <c r="I13">
        <f t="shared" si="3"/>
        <v>1.7142857142857142</v>
      </c>
      <c r="K13" s="6">
        <v>1</v>
      </c>
      <c r="L13">
        <f t="shared" si="4"/>
        <v>1.0909090909090908</v>
      </c>
      <c r="O13">
        <f t="shared" si="5"/>
        <v>0.92307692307692313</v>
      </c>
      <c r="R13" s="5">
        <v>3</v>
      </c>
      <c r="S13">
        <f t="shared" si="6"/>
        <v>1.3333333333333333</v>
      </c>
      <c r="W13">
        <f t="shared" si="1"/>
        <v>0</v>
      </c>
    </row>
    <row r="14" spans="1:23" x14ac:dyDescent="0.3">
      <c r="A14">
        <v>13</v>
      </c>
      <c r="D14">
        <f t="shared" si="0"/>
        <v>4.333333333333333</v>
      </c>
      <c r="E14" s="6">
        <v>8</v>
      </c>
      <c r="F14">
        <f t="shared" si="2"/>
        <v>2.6</v>
      </c>
      <c r="H14" s="6">
        <v>6</v>
      </c>
      <c r="I14">
        <f t="shared" si="3"/>
        <v>1.8571428571428572</v>
      </c>
      <c r="K14" s="6">
        <v>2</v>
      </c>
      <c r="L14">
        <f t="shared" si="4"/>
        <v>1.1818181818181819</v>
      </c>
      <c r="N14" s="7">
        <v>13</v>
      </c>
      <c r="O14">
        <f t="shared" si="5"/>
        <v>1</v>
      </c>
      <c r="R14" s="5">
        <v>4</v>
      </c>
      <c r="S14">
        <f t="shared" si="6"/>
        <v>1.4444444444444444</v>
      </c>
      <c r="W14">
        <f t="shared" si="1"/>
        <v>0</v>
      </c>
    </row>
    <row r="15" spans="1:23" x14ac:dyDescent="0.3">
      <c r="A15">
        <v>14</v>
      </c>
      <c r="D15">
        <f t="shared" si="0"/>
        <v>4.666666666666667</v>
      </c>
      <c r="E15" s="6">
        <v>9</v>
      </c>
      <c r="F15">
        <f t="shared" si="2"/>
        <v>2.8</v>
      </c>
      <c r="H15" s="6">
        <v>7</v>
      </c>
      <c r="I15">
        <f t="shared" si="3"/>
        <v>2</v>
      </c>
      <c r="K15" s="6">
        <v>3</v>
      </c>
      <c r="L15">
        <f t="shared" si="4"/>
        <v>1.2727272727272727</v>
      </c>
      <c r="N15" s="6">
        <v>1</v>
      </c>
      <c r="O15">
        <f t="shared" si="5"/>
        <v>1.0769230769230769</v>
      </c>
      <c r="R15" s="5">
        <v>5</v>
      </c>
      <c r="S15">
        <f t="shared" si="6"/>
        <v>1.5555555555555556</v>
      </c>
      <c r="W15">
        <f t="shared" si="1"/>
        <v>0</v>
      </c>
    </row>
    <row r="16" spans="1:23" x14ac:dyDescent="0.3">
      <c r="A16">
        <v>15</v>
      </c>
      <c r="C16" s="1" t="s">
        <v>1</v>
      </c>
      <c r="D16">
        <f t="shared" si="0"/>
        <v>5</v>
      </c>
      <c r="E16" s="2" t="s">
        <v>1</v>
      </c>
      <c r="F16">
        <f t="shared" si="2"/>
        <v>3</v>
      </c>
      <c r="H16" s="6">
        <v>8</v>
      </c>
      <c r="I16">
        <f t="shared" si="3"/>
        <v>2.1428571428571428</v>
      </c>
      <c r="K16" s="6">
        <v>4</v>
      </c>
      <c r="L16">
        <f t="shared" si="4"/>
        <v>1.3636363636363635</v>
      </c>
      <c r="N16" s="6">
        <v>2</v>
      </c>
      <c r="O16">
        <f t="shared" si="5"/>
        <v>1.1538461538461537</v>
      </c>
      <c r="R16" s="5">
        <v>6</v>
      </c>
      <c r="S16">
        <f t="shared" si="6"/>
        <v>1.6666666666666667</v>
      </c>
      <c r="V16" s="1" t="s">
        <v>1</v>
      </c>
      <c r="W16">
        <f t="shared" si="1"/>
        <v>0</v>
      </c>
    </row>
    <row r="17" spans="1:23" x14ac:dyDescent="0.3">
      <c r="A17">
        <v>16</v>
      </c>
      <c r="D17">
        <f t="shared" si="0"/>
        <v>5.333333333333333</v>
      </c>
      <c r="F17">
        <f t="shared" si="2"/>
        <v>3.2</v>
      </c>
      <c r="H17" s="6">
        <v>9</v>
      </c>
      <c r="I17">
        <f t="shared" si="3"/>
        <v>2.2857142857142856</v>
      </c>
      <c r="K17" s="6">
        <v>5</v>
      </c>
      <c r="L17">
        <f t="shared" si="4"/>
        <v>1.4545454545454546</v>
      </c>
      <c r="N17" s="6">
        <v>3</v>
      </c>
      <c r="O17">
        <f t="shared" si="5"/>
        <v>1.2307692307692308</v>
      </c>
      <c r="R17" s="5">
        <v>7</v>
      </c>
      <c r="S17">
        <f t="shared" si="6"/>
        <v>1.7777777777777777</v>
      </c>
      <c r="W17">
        <f t="shared" si="1"/>
        <v>0</v>
      </c>
    </row>
    <row r="18" spans="1:23" x14ac:dyDescent="0.3">
      <c r="A18">
        <v>17</v>
      </c>
      <c r="D18">
        <f t="shared" si="0"/>
        <v>5.666666666666667</v>
      </c>
      <c r="F18">
        <f t="shared" si="2"/>
        <v>3.4</v>
      </c>
      <c r="H18" s="6">
        <v>10</v>
      </c>
      <c r="I18">
        <f t="shared" si="3"/>
        <v>2.4285714285714284</v>
      </c>
      <c r="K18" s="6">
        <v>6</v>
      </c>
      <c r="L18">
        <f t="shared" si="4"/>
        <v>1.5454545454545454</v>
      </c>
      <c r="N18" s="6">
        <v>4</v>
      </c>
      <c r="O18">
        <f t="shared" si="5"/>
        <v>1.3076923076923077</v>
      </c>
      <c r="R18" s="5">
        <v>8</v>
      </c>
      <c r="S18">
        <f t="shared" si="6"/>
        <v>1.8888888888888888</v>
      </c>
      <c r="W18">
        <f t="shared" si="1"/>
        <v>0</v>
      </c>
    </row>
    <row r="19" spans="1:23" x14ac:dyDescent="0.3">
      <c r="A19">
        <v>18</v>
      </c>
      <c r="D19">
        <f t="shared" si="0"/>
        <v>6</v>
      </c>
      <c r="F19">
        <f t="shared" si="2"/>
        <v>3.6</v>
      </c>
      <c r="H19" s="6">
        <v>11</v>
      </c>
      <c r="I19">
        <f t="shared" si="3"/>
        <v>2.5714285714285716</v>
      </c>
      <c r="K19" s="6">
        <v>7</v>
      </c>
      <c r="L19">
        <f t="shared" si="4"/>
        <v>1.6363636363636365</v>
      </c>
      <c r="N19" s="6">
        <v>5</v>
      </c>
      <c r="O19">
        <f t="shared" si="5"/>
        <v>1.3846153846153846</v>
      </c>
      <c r="R19" s="5">
        <v>9</v>
      </c>
      <c r="S19">
        <f t="shared" si="6"/>
        <v>2</v>
      </c>
      <c r="W19">
        <f t="shared" si="1"/>
        <v>0</v>
      </c>
    </row>
    <row r="20" spans="1:23" x14ac:dyDescent="0.3">
      <c r="A20">
        <v>19</v>
      </c>
      <c r="D20">
        <f t="shared" si="0"/>
        <v>6.333333333333333</v>
      </c>
      <c r="F20">
        <f t="shared" si="2"/>
        <v>3.8</v>
      </c>
      <c r="H20" s="6">
        <v>12</v>
      </c>
      <c r="I20">
        <f t="shared" si="3"/>
        <v>2.7142857142857144</v>
      </c>
      <c r="K20" s="6">
        <v>8</v>
      </c>
      <c r="L20">
        <f t="shared" si="4"/>
        <v>1.7272727272727273</v>
      </c>
      <c r="N20" s="6">
        <v>6</v>
      </c>
      <c r="O20">
        <f t="shared" si="5"/>
        <v>1.4615384615384615</v>
      </c>
      <c r="R20" s="5">
        <v>10</v>
      </c>
      <c r="S20">
        <f t="shared" si="6"/>
        <v>2.1111111111111112</v>
      </c>
      <c r="W20">
        <f t="shared" si="1"/>
        <v>0</v>
      </c>
    </row>
    <row r="21" spans="1:23" x14ac:dyDescent="0.3">
      <c r="A21">
        <v>20</v>
      </c>
      <c r="D21">
        <f t="shared" si="0"/>
        <v>6.666666666666667</v>
      </c>
      <c r="F21">
        <f t="shared" si="2"/>
        <v>4</v>
      </c>
      <c r="H21" s="6">
        <v>13</v>
      </c>
      <c r="I21">
        <f t="shared" si="3"/>
        <v>2.8571428571428572</v>
      </c>
      <c r="K21" s="6">
        <v>9</v>
      </c>
      <c r="L21">
        <f t="shared" si="4"/>
        <v>1.8181818181818181</v>
      </c>
      <c r="N21" s="6">
        <v>7</v>
      </c>
      <c r="O21">
        <f t="shared" si="5"/>
        <v>1.5384615384615385</v>
      </c>
      <c r="R21" s="5">
        <v>11</v>
      </c>
      <c r="S21">
        <f t="shared" si="6"/>
        <v>2.2222222222222223</v>
      </c>
      <c r="W21">
        <f t="shared" si="1"/>
        <v>0</v>
      </c>
    </row>
    <row r="22" spans="1:23" x14ac:dyDescent="0.3">
      <c r="A22">
        <v>21</v>
      </c>
      <c r="C22" s="1" t="s">
        <v>5</v>
      </c>
      <c r="D22">
        <f t="shared" si="0"/>
        <v>7</v>
      </c>
      <c r="F22">
        <f t="shared" si="2"/>
        <v>4.2</v>
      </c>
      <c r="H22" s="3" t="s">
        <v>22</v>
      </c>
      <c r="I22">
        <f t="shared" si="3"/>
        <v>3</v>
      </c>
      <c r="K22" s="6">
        <v>10</v>
      </c>
      <c r="L22">
        <f t="shared" si="4"/>
        <v>1.9090909090909092</v>
      </c>
      <c r="N22" s="6">
        <v>8</v>
      </c>
      <c r="O22">
        <f t="shared" si="5"/>
        <v>1.6153846153846154</v>
      </c>
      <c r="R22" s="5">
        <v>12</v>
      </c>
      <c r="S22">
        <f t="shared" si="6"/>
        <v>2.3333333333333335</v>
      </c>
      <c r="V22" s="1" t="s">
        <v>5</v>
      </c>
      <c r="W22">
        <f t="shared" si="1"/>
        <v>0</v>
      </c>
    </row>
    <row r="23" spans="1:23" x14ac:dyDescent="0.3">
      <c r="A23">
        <v>22</v>
      </c>
      <c r="D23">
        <f t="shared" si="0"/>
        <v>7.333333333333333</v>
      </c>
      <c r="F23">
        <f t="shared" si="2"/>
        <v>4.4000000000000004</v>
      </c>
      <c r="I23">
        <f t="shared" si="3"/>
        <v>3.1428571428571428</v>
      </c>
      <c r="K23" s="6">
        <v>11</v>
      </c>
      <c r="L23">
        <f t="shared" si="4"/>
        <v>2</v>
      </c>
      <c r="N23" s="6">
        <v>9</v>
      </c>
      <c r="O23">
        <f t="shared" si="5"/>
        <v>1.6923076923076923</v>
      </c>
      <c r="R23" s="5">
        <v>13</v>
      </c>
      <c r="S23">
        <f t="shared" si="6"/>
        <v>2.4444444444444446</v>
      </c>
      <c r="W23">
        <f t="shared" si="1"/>
        <v>0</v>
      </c>
    </row>
    <row r="24" spans="1:23" x14ac:dyDescent="0.3">
      <c r="A24">
        <v>23</v>
      </c>
      <c r="D24">
        <f t="shared" si="0"/>
        <v>7.666666666666667</v>
      </c>
      <c r="F24">
        <f t="shared" si="2"/>
        <v>4.5999999999999996</v>
      </c>
      <c r="I24">
        <f t="shared" si="3"/>
        <v>3.2857142857142856</v>
      </c>
      <c r="K24" s="6">
        <v>12</v>
      </c>
      <c r="L24">
        <f t="shared" si="4"/>
        <v>2.0909090909090908</v>
      </c>
      <c r="N24" s="6">
        <v>10</v>
      </c>
      <c r="O24">
        <f t="shared" si="5"/>
        <v>1.7692307692307692</v>
      </c>
      <c r="R24" s="5">
        <v>14</v>
      </c>
      <c r="S24">
        <f t="shared" si="6"/>
        <v>2.5555555555555554</v>
      </c>
      <c r="W24">
        <f t="shared" si="1"/>
        <v>0</v>
      </c>
    </row>
    <row r="25" spans="1:23" x14ac:dyDescent="0.3">
      <c r="A25">
        <v>24</v>
      </c>
      <c r="D25">
        <f t="shared" si="0"/>
        <v>8</v>
      </c>
      <c r="F25">
        <f t="shared" si="2"/>
        <v>4.8</v>
      </c>
      <c r="I25">
        <f t="shared" si="3"/>
        <v>3.4285714285714284</v>
      </c>
      <c r="K25" s="6">
        <v>13</v>
      </c>
      <c r="L25">
        <f t="shared" si="4"/>
        <v>2.1818181818181817</v>
      </c>
      <c r="N25" s="6">
        <v>11</v>
      </c>
      <c r="O25">
        <f t="shared" si="5"/>
        <v>1.8461538461538463</v>
      </c>
      <c r="R25" s="5">
        <v>15</v>
      </c>
      <c r="S25">
        <f t="shared" si="6"/>
        <v>2.6666666666666665</v>
      </c>
      <c r="W25">
        <f t="shared" si="1"/>
        <v>0</v>
      </c>
    </row>
    <row r="26" spans="1:23" x14ac:dyDescent="0.3">
      <c r="A26">
        <v>25</v>
      </c>
      <c r="D26">
        <f t="shared" si="0"/>
        <v>8.3333333333333339</v>
      </c>
      <c r="E26" s="2" t="s">
        <v>2</v>
      </c>
      <c r="F26">
        <f t="shared" si="2"/>
        <v>5</v>
      </c>
      <c r="I26">
        <f t="shared" si="3"/>
        <v>3.5714285714285716</v>
      </c>
      <c r="K26" s="6">
        <v>14</v>
      </c>
      <c r="L26">
        <f t="shared" si="4"/>
        <v>2.2727272727272729</v>
      </c>
      <c r="N26" s="6">
        <v>12</v>
      </c>
      <c r="O26">
        <f t="shared" si="5"/>
        <v>1.9230769230769231</v>
      </c>
      <c r="R26" s="5">
        <v>16</v>
      </c>
      <c r="S26">
        <f t="shared" si="6"/>
        <v>2.7777777777777777</v>
      </c>
      <c r="W26">
        <f t="shared" si="1"/>
        <v>0</v>
      </c>
    </row>
    <row r="27" spans="1:23" x14ac:dyDescent="0.3">
      <c r="A27">
        <v>26</v>
      </c>
      <c r="D27">
        <f t="shared" si="0"/>
        <v>8.6666666666666661</v>
      </c>
      <c r="F27">
        <f t="shared" si="2"/>
        <v>5.2</v>
      </c>
      <c r="I27">
        <f t="shared" si="3"/>
        <v>3.7142857142857144</v>
      </c>
      <c r="K27" s="6">
        <v>15</v>
      </c>
      <c r="L27">
        <f t="shared" si="4"/>
        <v>2.3636363636363638</v>
      </c>
      <c r="N27" s="6">
        <v>13</v>
      </c>
      <c r="O27">
        <f t="shared" si="5"/>
        <v>2</v>
      </c>
      <c r="R27" s="5">
        <v>17</v>
      </c>
      <c r="S27">
        <f t="shared" si="6"/>
        <v>2.8888888888888888</v>
      </c>
      <c r="W27">
        <f t="shared" si="1"/>
        <v>0</v>
      </c>
    </row>
    <row r="28" spans="1:23" x14ac:dyDescent="0.3">
      <c r="A28">
        <v>27</v>
      </c>
      <c r="C28" s="1" t="s">
        <v>3</v>
      </c>
      <c r="D28">
        <f t="shared" si="0"/>
        <v>9</v>
      </c>
      <c r="F28">
        <f t="shared" si="2"/>
        <v>5.4</v>
      </c>
      <c r="I28">
        <f t="shared" si="3"/>
        <v>3.8571428571428572</v>
      </c>
      <c r="K28" s="6">
        <v>16</v>
      </c>
      <c r="L28">
        <f t="shared" si="4"/>
        <v>2.4545454545454546</v>
      </c>
      <c r="N28" s="6">
        <v>14</v>
      </c>
      <c r="O28">
        <f t="shared" si="5"/>
        <v>2.0769230769230771</v>
      </c>
      <c r="R28" s="8" t="s">
        <v>34</v>
      </c>
      <c r="S28">
        <f t="shared" si="6"/>
        <v>3</v>
      </c>
      <c r="V28" s="1" t="s">
        <v>3</v>
      </c>
      <c r="W28">
        <f t="shared" si="1"/>
        <v>0</v>
      </c>
    </row>
    <row r="29" spans="1:23" x14ac:dyDescent="0.3">
      <c r="A29">
        <v>28</v>
      </c>
      <c r="D29">
        <f t="shared" si="0"/>
        <v>9.3333333333333339</v>
      </c>
      <c r="F29">
        <f t="shared" si="2"/>
        <v>5.6</v>
      </c>
      <c r="I29">
        <f t="shared" si="3"/>
        <v>4</v>
      </c>
      <c r="K29" s="6">
        <v>17</v>
      </c>
      <c r="L29">
        <f t="shared" si="4"/>
        <v>2.5454545454545454</v>
      </c>
      <c r="N29" s="6">
        <v>15</v>
      </c>
      <c r="O29">
        <f t="shared" si="5"/>
        <v>2.1538461538461537</v>
      </c>
      <c r="S29">
        <f t="shared" si="6"/>
        <v>3.1111111111111112</v>
      </c>
      <c r="W29">
        <f t="shared" si="1"/>
        <v>0</v>
      </c>
    </row>
    <row r="30" spans="1:23" x14ac:dyDescent="0.3">
      <c r="A30">
        <v>29</v>
      </c>
      <c r="D30">
        <f t="shared" si="0"/>
        <v>9.6666666666666661</v>
      </c>
      <c r="F30">
        <f t="shared" si="2"/>
        <v>5.8</v>
      </c>
      <c r="I30">
        <f t="shared" si="3"/>
        <v>4.1428571428571432</v>
      </c>
      <c r="K30" s="6">
        <v>18</v>
      </c>
      <c r="L30">
        <f t="shared" si="4"/>
        <v>2.6363636363636362</v>
      </c>
      <c r="N30" s="6">
        <v>16</v>
      </c>
      <c r="O30">
        <f t="shared" si="5"/>
        <v>2.2307692307692308</v>
      </c>
      <c r="S30">
        <f t="shared" si="6"/>
        <v>3.2222222222222223</v>
      </c>
      <c r="W30">
        <f t="shared" si="1"/>
        <v>0</v>
      </c>
    </row>
    <row r="31" spans="1:23" x14ac:dyDescent="0.3">
      <c r="A31">
        <v>30</v>
      </c>
      <c r="D31">
        <f t="shared" si="0"/>
        <v>10</v>
      </c>
      <c r="F31">
        <f t="shared" si="2"/>
        <v>6</v>
      </c>
      <c r="I31">
        <f t="shared" si="3"/>
        <v>4.2857142857142856</v>
      </c>
      <c r="K31" s="6">
        <v>19</v>
      </c>
      <c r="L31">
        <f t="shared" si="4"/>
        <v>2.7272727272727271</v>
      </c>
      <c r="N31" s="6">
        <v>17</v>
      </c>
      <c r="O31">
        <f t="shared" si="5"/>
        <v>2.3076923076923075</v>
      </c>
      <c r="S31">
        <f t="shared" si="6"/>
        <v>3.3333333333333335</v>
      </c>
      <c r="W31">
        <f t="shared" si="1"/>
        <v>0</v>
      </c>
    </row>
    <row r="32" spans="1:23" x14ac:dyDescent="0.3">
      <c r="A32">
        <v>31</v>
      </c>
      <c r="D32">
        <f t="shared" si="0"/>
        <v>10.333333333333334</v>
      </c>
      <c r="F32">
        <f t="shared" si="2"/>
        <v>6.2</v>
      </c>
      <c r="I32">
        <f t="shared" si="3"/>
        <v>4.4285714285714288</v>
      </c>
      <c r="K32" s="6">
        <v>20</v>
      </c>
      <c r="L32">
        <f t="shared" si="4"/>
        <v>2.8181818181818183</v>
      </c>
      <c r="N32" s="6">
        <v>18</v>
      </c>
      <c r="O32">
        <f t="shared" si="5"/>
        <v>2.3846153846153846</v>
      </c>
      <c r="S32">
        <f t="shared" si="6"/>
        <v>3.4444444444444446</v>
      </c>
      <c r="W32">
        <f t="shared" si="1"/>
        <v>0</v>
      </c>
    </row>
    <row r="33" spans="1:23" x14ac:dyDescent="0.3">
      <c r="A33">
        <v>32</v>
      </c>
      <c r="D33">
        <f t="shared" si="0"/>
        <v>10.666666666666666</v>
      </c>
      <c r="F33">
        <f t="shared" si="2"/>
        <v>6.4</v>
      </c>
      <c r="I33">
        <f t="shared" si="3"/>
        <v>4.5714285714285712</v>
      </c>
      <c r="K33" s="6">
        <v>21</v>
      </c>
      <c r="L33">
        <f t="shared" si="4"/>
        <v>2.9090909090909092</v>
      </c>
      <c r="N33" s="6">
        <v>19</v>
      </c>
      <c r="O33">
        <f t="shared" si="5"/>
        <v>2.4615384615384617</v>
      </c>
      <c r="S33">
        <f t="shared" si="6"/>
        <v>3.5555555555555554</v>
      </c>
      <c r="W33">
        <f t="shared" si="1"/>
        <v>0</v>
      </c>
    </row>
    <row r="34" spans="1:23" x14ac:dyDescent="0.3">
      <c r="A34">
        <v>33</v>
      </c>
      <c r="C34" s="1" t="s">
        <v>4</v>
      </c>
      <c r="D34">
        <f t="shared" ref="D34:D66" si="7">A34/3</f>
        <v>11</v>
      </c>
      <c r="F34">
        <f t="shared" si="2"/>
        <v>6.6</v>
      </c>
      <c r="I34">
        <f t="shared" si="3"/>
        <v>4.7142857142857144</v>
      </c>
      <c r="K34" s="4" t="s">
        <v>28</v>
      </c>
      <c r="L34">
        <f t="shared" si="4"/>
        <v>3</v>
      </c>
      <c r="N34" s="6">
        <v>20</v>
      </c>
      <c r="O34">
        <f t="shared" si="5"/>
        <v>2.5384615384615383</v>
      </c>
      <c r="S34">
        <f t="shared" si="6"/>
        <v>3.6666666666666665</v>
      </c>
      <c r="V34" s="1" t="s">
        <v>4</v>
      </c>
      <c r="W34">
        <f t="shared" ref="W34:W65" si="8">Q34/3</f>
        <v>0</v>
      </c>
    </row>
    <row r="35" spans="1:23" x14ac:dyDescent="0.3">
      <c r="A35">
        <v>34</v>
      </c>
      <c r="D35">
        <f t="shared" si="7"/>
        <v>11.333333333333334</v>
      </c>
      <c r="F35">
        <f t="shared" si="2"/>
        <v>6.8</v>
      </c>
      <c r="I35">
        <f t="shared" si="3"/>
        <v>4.8571428571428568</v>
      </c>
      <c r="L35">
        <f t="shared" si="4"/>
        <v>3.0909090909090908</v>
      </c>
      <c r="N35" s="6">
        <v>21</v>
      </c>
      <c r="O35">
        <f t="shared" si="5"/>
        <v>2.6153846153846154</v>
      </c>
      <c r="S35">
        <f t="shared" si="6"/>
        <v>3.7777777777777777</v>
      </c>
      <c r="W35">
        <f t="shared" si="8"/>
        <v>0</v>
      </c>
    </row>
    <row r="36" spans="1:23" x14ac:dyDescent="0.3">
      <c r="A36">
        <v>35</v>
      </c>
      <c r="D36">
        <f t="shared" si="7"/>
        <v>11.666666666666666</v>
      </c>
      <c r="E36" s="2" t="s">
        <v>8</v>
      </c>
      <c r="F36">
        <f t="shared" si="2"/>
        <v>7</v>
      </c>
      <c r="H36" s="3" t="s">
        <v>23</v>
      </c>
      <c r="I36">
        <f t="shared" si="3"/>
        <v>5</v>
      </c>
      <c r="L36">
        <f t="shared" si="4"/>
        <v>3.1818181818181817</v>
      </c>
      <c r="N36" s="6">
        <v>22</v>
      </c>
      <c r="O36">
        <f t="shared" si="5"/>
        <v>2.6923076923076925</v>
      </c>
      <c r="S36">
        <f t="shared" si="6"/>
        <v>3.8888888888888888</v>
      </c>
      <c r="W36">
        <f t="shared" si="8"/>
        <v>0</v>
      </c>
    </row>
    <row r="37" spans="1:23" x14ac:dyDescent="0.3">
      <c r="A37">
        <v>36</v>
      </c>
      <c r="D37">
        <f t="shared" si="7"/>
        <v>12</v>
      </c>
      <c r="F37">
        <f t="shared" si="2"/>
        <v>7.2</v>
      </c>
      <c r="I37">
        <f t="shared" si="3"/>
        <v>5.1428571428571432</v>
      </c>
      <c r="L37">
        <f t="shared" si="4"/>
        <v>3.2727272727272729</v>
      </c>
      <c r="N37" s="6">
        <v>23</v>
      </c>
      <c r="O37">
        <f t="shared" si="5"/>
        <v>2.7692307692307692</v>
      </c>
      <c r="S37">
        <f t="shared" si="6"/>
        <v>4</v>
      </c>
      <c r="W37">
        <f t="shared" si="8"/>
        <v>0</v>
      </c>
    </row>
    <row r="38" spans="1:23" x14ac:dyDescent="0.3">
      <c r="A38">
        <v>37</v>
      </c>
      <c r="D38">
        <f t="shared" si="7"/>
        <v>12.333333333333334</v>
      </c>
      <c r="F38">
        <f t="shared" si="2"/>
        <v>7.4</v>
      </c>
      <c r="I38">
        <f t="shared" si="3"/>
        <v>5.2857142857142856</v>
      </c>
      <c r="L38">
        <f t="shared" si="4"/>
        <v>3.3636363636363638</v>
      </c>
      <c r="N38" s="6">
        <v>24</v>
      </c>
      <c r="O38">
        <f t="shared" si="5"/>
        <v>2.8461538461538463</v>
      </c>
      <c r="S38">
        <f t="shared" si="6"/>
        <v>4.1111111111111107</v>
      </c>
      <c r="W38">
        <f t="shared" si="8"/>
        <v>0</v>
      </c>
    </row>
    <row r="39" spans="1:23" x14ac:dyDescent="0.3">
      <c r="A39">
        <v>38</v>
      </c>
      <c r="D39">
        <f t="shared" si="7"/>
        <v>12.666666666666666</v>
      </c>
      <c r="F39">
        <f t="shared" si="2"/>
        <v>7.6</v>
      </c>
      <c r="I39">
        <f t="shared" si="3"/>
        <v>5.4285714285714288</v>
      </c>
      <c r="L39">
        <f t="shared" si="4"/>
        <v>3.4545454545454546</v>
      </c>
      <c r="N39" s="6">
        <v>25</v>
      </c>
      <c r="O39">
        <f t="shared" si="5"/>
        <v>2.9230769230769229</v>
      </c>
      <c r="S39">
        <f t="shared" si="6"/>
        <v>4.2222222222222223</v>
      </c>
      <c r="W39">
        <f t="shared" si="8"/>
        <v>0</v>
      </c>
    </row>
    <row r="40" spans="1:23" x14ac:dyDescent="0.3">
      <c r="A40">
        <v>39</v>
      </c>
      <c r="C40" s="1" t="s">
        <v>10</v>
      </c>
      <c r="D40">
        <f t="shared" si="7"/>
        <v>13</v>
      </c>
      <c r="F40">
        <f t="shared" si="2"/>
        <v>7.8</v>
      </c>
      <c r="I40">
        <f t="shared" si="3"/>
        <v>5.5714285714285712</v>
      </c>
      <c r="L40">
        <f t="shared" si="4"/>
        <v>3.5454545454545454</v>
      </c>
      <c r="N40" s="7" t="s">
        <v>31</v>
      </c>
      <c r="O40">
        <f t="shared" si="5"/>
        <v>3</v>
      </c>
      <c r="S40">
        <f t="shared" si="6"/>
        <v>4.333333333333333</v>
      </c>
      <c r="V40" s="1" t="s">
        <v>10</v>
      </c>
      <c r="W40">
        <f t="shared" si="8"/>
        <v>0</v>
      </c>
    </row>
    <row r="41" spans="1:23" x14ac:dyDescent="0.3">
      <c r="A41">
        <v>40</v>
      </c>
      <c r="D41">
        <f t="shared" si="7"/>
        <v>13.333333333333334</v>
      </c>
      <c r="F41">
        <f t="shared" si="2"/>
        <v>8</v>
      </c>
      <c r="I41">
        <f t="shared" si="3"/>
        <v>5.7142857142857144</v>
      </c>
      <c r="L41">
        <f t="shared" si="4"/>
        <v>3.6363636363636362</v>
      </c>
      <c r="O41">
        <f t="shared" si="5"/>
        <v>3.0769230769230771</v>
      </c>
      <c r="S41">
        <f t="shared" si="6"/>
        <v>4.4444444444444446</v>
      </c>
      <c r="W41">
        <f t="shared" si="8"/>
        <v>0</v>
      </c>
    </row>
    <row r="42" spans="1:23" x14ac:dyDescent="0.3">
      <c r="A42">
        <v>41</v>
      </c>
      <c r="D42">
        <f t="shared" si="7"/>
        <v>13.666666666666666</v>
      </c>
      <c r="F42">
        <f t="shared" si="2"/>
        <v>8.1999999999999993</v>
      </c>
      <c r="I42">
        <f t="shared" si="3"/>
        <v>5.8571428571428568</v>
      </c>
      <c r="L42">
        <f t="shared" si="4"/>
        <v>3.7272727272727271</v>
      </c>
      <c r="O42">
        <f t="shared" si="5"/>
        <v>3.1538461538461537</v>
      </c>
      <c r="S42">
        <f t="shared" si="6"/>
        <v>4.5555555555555554</v>
      </c>
      <c r="W42">
        <f t="shared" si="8"/>
        <v>0</v>
      </c>
    </row>
    <row r="43" spans="1:23" x14ac:dyDescent="0.3">
      <c r="A43">
        <v>42</v>
      </c>
      <c r="D43">
        <f t="shared" si="7"/>
        <v>14</v>
      </c>
      <c r="F43">
        <f t="shared" si="2"/>
        <v>8.4</v>
      </c>
      <c r="I43">
        <f t="shared" si="3"/>
        <v>6</v>
      </c>
      <c r="L43">
        <f t="shared" si="4"/>
        <v>3.8181818181818183</v>
      </c>
      <c r="O43">
        <f t="shared" si="5"/>
        <v>3.2307692307692308</v>
      </c>
      <c r="S43">
        <f t="shared" si="6"/>
        <v>4.666666666666667</v>
      </c>
      <c r="W43">
        <f t="shared" si="8"/>
        <v>0</v>
      </c>
    </row>
    <row r="44" spans="1:23" x14ac:dyDescent="0.3">
      <c r="A44">
        <v>43</v>
      </c>
      <c r="D44">
        <f t="shared" si="7"/>
        <v>14.333333333333334</v>
      </c>
      <c r="F44">
        <f t="shared" si="2"/>
        <v>8.6</v>
      </c>
      <c r="I44">
        <f t="shared" si="3"/>
        <v>6.1428571428571432</v>
      </c>
      <c r="L44">
        <f t="shared" si="4"/>
        <v>3.9090909090909092</v>
      </c>
      <c r="O44">
        <f t="shared" si="5"/>
        <v>3.3076923076923075</v>
      </c>
      <c r="S44">
        <f t="shared" si="6"/>
        <v>4.7777777777777777</v>
      </c>
      <c r="W44">
        <f t="shared" si="8"/>
        <v>0</v>
      </c>
    </row>
    <row r="45" spans="1:23" x14ac:dyDescent="0.3">
      <c r="A45">
        <v>44</v>
      </c>
      <c r="D45">
        <f t="shared" si="7"/>
        <v>14.666666666666666</v>
      </c>
      <c r="F45">
        <f t="shared" si="2"/>
        <v>8.8000000000000007</v>
      </c>
      <c r="I45">
        <f t="shared" si="3"/>
        <v>6.2857142857142856</v>
      </c>
      <c r="L45">
        <f t="shared" si="4"/>
        <v>4</v>
      </c>
      <c r="O45">
        <f t="shared" si="5"/>
        <v>3.3846153846153846</v>
      </c>
      <c r="S45">
        <f t="shared" si="6"/>
        <v>4.8888888888888893</v>
      </c>
      <c r="W45">
        <f t="shared" si="8"/>
        <v>0</v>
      </c>
    </row>
    <row r="46" spans="1:23" x14ac:dyDescent="0.3">
      <c r="A46">
        <v>45</v>
      </c>
      <c r="C46" s="1" t="s">
        <v>7</v>
      </c>
      <c r="D46">
        <f t="shared" si="7"/>
        <v>15</v>
      </c>
      <c r="E46" s="2" t="s">
        <v>7</v>
      </c>
      <c r="F46">
        <f t="shared" si="2"/>
        <v>9</v>
      </c>
      <c r="I46">
        <f t="shared" si="3"/>
        <v>6.4285714285714288</v>
      </c>
      <c r="L46">
        <f t="shared" si="4"/>
        <v>4.0909090909090908</v>
      </c>
      <c r="O46">
        <f t="shared" si="5"/>
        <v>3.4615384615384617</v>
      </c>
      <c r="R46" s="8" t="s">
        <v>35</v>
      </c>
      <c r="S46">
        <f t="shared" si="6"/>
        <v>5</v>
      </c>
      <c r="V46" s="1" t="s">
        <v>7</v>
      </c>
      <c r="W46">
        <f t="shared" si="8"/>
        <v>0</v>
      </c>
    </row>
    <row r="47" spans="1:23" x14ac:dyDescent="0.3">
      <c r="A47">
        <v>46</v>
      </c>
      <c r="D47">
        <f t="shared" si="7"/>
        <v>15.333333333333334</v>
      </c>
      <c r="F47">
        <f t="shared" si="2"/>
        <v>9.1999999999999993</v>
      </c>
      <c r="I47">
        <f t="shared" si="3"/>
        <v>6.5714285714285712</v>
      </c>
      <c r="L47">
        <f t="shared" si="4"/>
        <v>4.1818181818181817</v>
      </c>
      <c r="O47">
        <f t="shared" si="5"/>
        <v>3.5384615384615383</v>
      </c>
      <c r="S47">
        <f t="shared" si="6"/>
        <v>5.1111111111111107</v>
      </c>
      <c r="W47">
        <f t="shared" si="8"/>
        <v>0</v>
      </c>
    </row>
    <row r="48" spans="1:23" x14ac:dyDescent="0.3">
      <c r="A48">
        <v>47</v>
      </c>
      <c r="D48">
        <f t="shared" si="7"/>
        <v>15.666666666666666</v>
      </c>
      <c r="F48">
        <f t="shared" si="2"/>
        <v>9.4</v>
      </c>
      <c r="I48">
        <f t="shared" si="3"/>
        <v>6.7142857142857144</v>
      </c>
      <c r="L48">
        <f t="shared" si="4"/>
        <v>4.2727272727272725</v>
      </c>
      <c r="O48">
        <f t="shared" si="5"/>
        <v>3.6153846153846154</v>
      </c>
      <c r="S48">
        <f t="shared" si="6"/>
        <v>5.2222222222222223</v>
      </c>
      <c r="W48">
        <f t="shared" si="8"/>
        <v>0</v>
      </c>
    </row>
    <row r="49" spans="1:23" x14ac:dyDescent="0.3">
      <c r="A49">
        <v>48</v>
      </c>
      <c r="D49">
        <f t="shared" si="7"/>
        <v>16</v>
      </c>
      <c r="F49">
        <f t="shared" si="2"/>
        <v>9.6</v>
      </c>
      <c r="I49">
        <f t="shared" si="3"/>
        <v>6.8571428571428568</v>
      </c>
      <c r="L49">
        <f t="shared" si="4"/>
        <v>4.3636363636363633</v>
      </c>
      <c r="O49">
        <f t="shared" si="5"/>
        <v>3.6923076923076925</v>
      </c>
      <c r="S49">
        <f t="shared" si="6"/>
        <v>5.333333333333333</v>
      </c>
      <c r="W49">
        <f t="shared" si="8"/>
        <v>0</v>
      </c>
    </row>
    <row r="50" spans="1:23" x14ac:dyDescent="0.3">
      <c r="A50">
        <v>49</v>
      </c>
      <c r="C50" t="s">
        <v>6</v>
      </c>
      <c r="D50">
        <f t="shared" si="7"/>
        <v>16.333333333333332</v>
      </c>
      <c r="F50">
        <f t="shared" si="2"/>
        <v>9.8000000000000007</v>
      </c>
      <c r="H50" s="3" t="s">
        <v>6</v>
      </c>
      <c r="I50">
        <f t="shared" si="3"/>
        <v>7</v>
      </c>
      <c r="L50">
        <f t="shared" si="4"/>
        <v>4.4545454545454541</v>
      </c>
      <c r="O50">
        <f t="shared" si="5"/>
        <v>3.7692307692307692</v>
      </c>
      <c r="S50">
        <f t="shared" si="6"/>
        <v>5.4444444444444446</v>
      </c>
      <c r="V50" t="s">
        <v>6</v>
      </c>
      <c r="W50">
        <f t="shared" si="8"/>
        <v>0</v>
      </c>
    </row>
    <row r="51" spans="1:23" x14ac:dyDescent="0.3">
      <c r="A51">
        <v>50</v>
      </c>
      <c r="D51">
        <f t="shared" si="7"/>
        <v>16.666666666666668</v>
      </c>
      <c r="F51">
        <f t="shared" si="2"/>
        <v>10</v>
      </c>
      <c r="I51">
        <f t="shared" si="3"/>
        <v>7.1428571428571432</v>
      </c>
      <c r="L51">
        <f t="shared" si="4"/>
        <v>4.5454545454545459</v>
      </c>
      <c r="O51">
        <f t="shared" si="5"/>
        <v>3.8461538461538463</v>
      </c>
      <c r="S51">
        <f t="shared" si="6"/>
        <v>5.5555555555555554</v>
      </c>
      <c r="W51">
        <f t="shared" si="8"/>
        <v>0</v>
      </c>
    </row>
    <row r="52" spans="1:23" x14ac:dyDescent="0.3">
      <c r="A52">
        <v>51</v>
      </c>
      <c r="C52" s="1" t="s">
        <v>17</v>
      </c>
      <c r="D52">
        <f t="shared" si="7"/>
        <v>17</v>
      </c>
      <c r="F52">
        <f t="shared" si="2"/>
        <v>10.199999999999999</v>
      </c>
      <c r="I52">
        <f t="shared" si="3"/>
        <v>7.2857142857142856</v>
      </c>
      <c r="L52">
        <f t="shared" si="4"/>
        <v>4.6363636363636367</v>
      </c>
      <c r="O52">
        <f t="shared" si="5"/>
        <v>3.9230769230769229</v>
      </c>
      <c r="S52">
        <f t="shared" si="6"/>
        <v>5.666666666666667</v>
      </c>
      <c r="V52" s="1" t="s">
        <v>17</v>
      </c>
      <c r="W52">
        <f t="shared" si="8"/>
        <v>0</v>
      </c>
    </row>
    <row r="53" spans="1:23" x14ac:dyDescent="0.3">
      <c r="A53">
        <v>52</v>
      </c>
      <c r="D53">
        <f t="shared" si="7"/>
        <v>17.333333333333332</v>
      </c>
      <c r="F53">
        <f t="shared" si="2"/>
        <v>10.4</v>
      </c>
      <c r="I53">
        <f t="shared" si="3"/>
        <v>7.4285714285714288</v>
      </c>
      <c r="L53">
        <f t="shared" si="4"/>
        <v>4.7272727272727275</v>
      </c>
      <c r="O53">
        <f t="shared" si="5"/>
        <v>4</v>
      </c>
      <c r="S53">
        <f t="shared" si="6"/>
        <v>5.7777777777777777</v>
      </c>
      <c r="W53">
        <f t="shared" si="8"/>
        <v>0</v>
      </c>
    </row>
    <row r="54" spans="1:23" x14ac:dyDescent="0.3">
      <c r="A54">
        <v>53</v>
      </c>
      <c r="D54">
        <f t="shared" si="7"/>
        <v>17.666666666666668</v>
      </c>
      <c r="F54">
        <f t="shared" si="2"/>
        <v>10.6</v>
      </c>
      <c r="I54">
        <f t="shared" si="3"/>
        <v>7.5714285714285712</v>
      </c>
      <c r="L54">
        <f t="shared" si="4"/>
        <v>4.8181818181818183</v>
      </c>
      <c r="O54">
        <f t="shared" si="5"/>
        <v>4.0769230769230766</v>
      </c>
      <c r="S54">
        <f t="shared" si="6"/>
        <v>5.8888888888888893</v>
      </c>
      <c r="W54">
        <f t="shared" si="8"/>
        <v>0</v>
      </c>
    </row>
    <row r="55" spans="1:23" x14ac:dyDescent="0.3">
      <c r="A55">
        <v>54</v>
      </c>
      <c r="D55">
        <f t="shared" si="7"/>
        <v>18</v>
      </c>
      <c r="F55">
        <f t="shared" si="2"/>
        <v>10.8</v>
      </c>
      <c r="I55">
        <f t="shared" si="3"/>
        <v>7.7142857142857144</v>
      </c>
      <c r="L55">
        <f t="shared" si="4"/>
        <v>4.9090909090909092</v>
      </c>
      <c r="O55">
        <f t="shared" si="5"/>
        <v>4.1538461538461542</v>
      </c>
      <c r="S55">
        <f t="shared" si="6"/>
        <v>6</v>
      </c>
      <c r="W55">
        <f t="shared" si="8"/>
        <v>0</v>
      </c>
    </row>
    <row r="56" spans="1:23" x14ac:dyDescent="0.3">
      <c r="A56">
        <v>55</v>
      </c>
      <c r="C56" t="s">
        <v>9</v>
      </c>
      <c r="D56">
        <f t="shared" si="7"/>
        <v>18.333333333333332</v>
      </c>
      <c r="E56" s="2" t="s">
        <v>9</v>
      </c>
      <c r="F56">
        <f t="shared" si="2"/>
        <v>11</v>
      </c>
      <c r="I56">
        <f t="shared" si="3"/>
        <v>7.8571428571428568</v>
      </c>
      <c r="K56" s="4" t="s">
        <v>29</v>
      </c>
      <c r="L56">
        <f t="shared" si="4"/>
        <v>5</v>
      </c>
      <c r="O56">
        <f t="shared" si="5"/>
        <v>4.2307692307692308</v>
      </c>
      <c r="S56">
        <f t="shared" si="6"/>
        <v>6.1111111111111107</v>
      </c>
      <c r="V56" t="s">
        <v>9</v>
      </c>
      <c r="W56">
        <f t="shared" si="8"/>
        <v>0</v>
      </c>
    </row>
    <row r="57" spans="1:23" x14ac:dyDescent="0.3">
      <c r="A57">
        <v>56</v>
      </c>
      <c r="D57">
        <f t="shared" si="7"/>
        <v>18.666666666666668</v>
      </c>
      <c r="F57">
        <f t="shared" si="2"/>
        <v>11.2</v>
      </c>
      <c r="I57">
        <f t="shared" si="3"/>
        <v>8</v>
      </c>
      <c r="L57">
        <f t="shared" si="4"/>
        <v>5.0909090909090908</v>
      </c>
      <c r="O57">
        <f t="shared" si="5"/>
        <v>4.3076923076923075</v>
      </c>
      <c r="S57">
        <f t="shared" si="6"/>
        <v>6.2222222222222223</v>
      </c>
      <c r="W57">
        <f t="shared" si="8"/>
        <v>0</v>
      </c>
    </row>
    <row r="58" spans="1:23" x14ac:dyDescent="0.3">
      <c r="A58">
        <v>57</v>
      </c>
      <c r="C58" s="1" t="s">
        <v>11</v>
      </c>
      <c r="D58">
        <f t="shared" si="7"/>
        <v>19</v>
      </c>
      <c r="F58">
        <f t="shared" si="2"/>
        <v>11.4</v>
      </c>
      <c r="I58">
        <f t="shared" si="3"/>
        <v>8.1428571428571423</v>
      </c>
      <c r="L58">
        <f t="shared" si="4"/>
        <v>5.1818181818181817</v>
      </c>
      <c r="O58">
        <f t="shared" si="5"/>
        <v>4.384615384615385</v>
      </c>
      <c r="S58">
        <f t="shared" si="6"/>
        <v>6.333333333333333</v>
      </c>
      <c r="V58" s="1" t="s">
        <v>11</v>
      </c>
      <c r="W58">
        <f t="shared" si="8"/>
        <v>0</v>
      </c>
    </row>
    <row r="59" spans="1:23" x14ac:dyDescent="0.3">
      <c r="A59">
        <v>58</v>
      </c>
      <c r="D59">
        <f t="shared" si="7"/>
        <v>19.333333333333332</v>
      </c>
      <c r="F59">
        <f t="shared" si="2"/>
        <v>11.6</v>
      </c>
      <c r="I59">
        <f t="shared" si="3"/>
        <v>8.2857142857142865</v>
      </c>
      <c r="L59">
        <f t="shared" si="4"/>
        <v>5.2727272727272725</v>
      </c>
      <c r="O59">
        <f t="shared" si="5"/>
        <v>4.4615384615384617</v>
      </c>
      <c r="S59">
        <f t="shared" si="6"/>
        <v>6.4444444444444446</v>
      </c>
      <c r="W59">
        <f t="shared" si="8"/>
        <v>0</v>
      </c>
    </row>
    <row r="60" spans="1:23" x14ac:dyDescent="0.3">
      <c r="A60">
        <v>59</v>
      </c>
      <c r="D60">
        <f t="shared" si="7"/>
        <v>19.666666666666668</v>
      </c>
      <c r="F60">
        <f t="shared" si="2"/>
        <v>11.8</v>
      </c>
      <c r="I60">
        <f t="shared" si="3"/>
        <v>8.4285714285714288</v>
      </c>
      <c r="L60">
        <f t="shared" si="4"/>
        <v>5.3636363636363633</v>
      </c>
      <c r="O60">
        <f t="shared" si="5"/>
        <v>4.5384615384615383</v>
      </c>
      <c r="S60">
        <f t="shared" si="6"/>
        <v>6.5555555555555554</v>
      </c>
      <c r="W60">
        <f t="shared" si="8"/>
        <v>0</v>
      </c>
    </row>
    <row r="61" spans="1:23" x14ac:dyDescent="0.3">
      <c r="A61">
        <v>60</v>
      </c>
      <c r="D61">
        <f t="shared" si="7"/>
        <v>20</v>
      </c>
      <c r="F61">
        <f t="shared" si="2"/>
        <v>12</v>
      </c>
      <c r="I61">
        <f t="shared" si="3"/>
        <v>8.5714285714285712</v>
      </c>
      <c r="L61">
        <f t="shared" si="4"/>
        <v>5.4545454545454541</v>
      </c>
      <c r="O61">
        <f t="shared" si="5"/>
        <v>4.615384615384615</v>
      </c>
      <c r="S61">
        <f t="shared" si="6"/>
        <v>6.666666666666667</v>
      </c>
      <c r="W61">
        <f t="shared" si="8"/>
        <v>0</v>
      </c>
    </row>
    <row r="62" spans="1:23" x14ac:dyDescent="0.3">
      <c r="A62">
        <v>61</v>
      </c>
      <c r="D62">
        <f t="shared" si="7"/>
        <v>20.333333333333332</v>
      </c>
      <c r="F62">
        <f t="shared" si="2"/>
        <v>12.2</v>
      </c>
      <c r="I62">
        <f t="shared" si="3"/>
        <v>8.7142857142857135</v>
      </c>
      <c r="L62">
        <f t="shared" si="4"/>
        <v>5.5454545454545459</v>
      </c>
      <c r="O62">
        <f t="shared" si="5"/>
        <v>4.6923076923076925</v>
      </c>
      <c r="S62">
        <f t="shared" si="6"/>
        <v>6.7777777777777777</v>
      </c>
      <c r="W62">
        <f t="shared" si="8"/>
        <v>0</v>
      </c>
    </row>
    <row r="63" spans="1:23" x14ac:dyDescent="0.3">
      <c r="A63">
        <v>62</v>
      </c>
      <c r="D63">
        <f t="shared" si="7"/>
        <v>20.666666666666668</v>
      </c>
      <c r="F63">
        <f t="shared" si="2"/>
        <v>12.4</v>
      </c>
      <c r="I63">
        <f t="shared" si="3"/>
        <v>8.8571428571428577</v>
      </c>
      <c r="L63">
        <f t="shared" si="4"/>
        <v>5.6363636363636367</v>
      </c>
      <c r="O63">
        <f t="shared" si="5"/>
        <v>4.7692307692307692</v>
      </c>
      <c r="S63">
        <f t="shared" si="6"/>
        <v>6.8888888888888893</v>
      </c>
      <c r="W63">
        <f t="shared" si="8"/>
        <v>0</v>
      </c>
    </row>
    <row r="64" spans="1:23" x14ac:dyDescent="0.3">
      <c r="A64">
        <v>63</v>
      </c>
      <c r="C64" s="1" t="s">
        <v>12</v>
      </c>
      <c r="D64">
        <f t="shared" si="7"/>
        <v>21</v>
      </c>
      <c r="F64">
        <f t="shared" si="2"/>
        <v>12.6</v>
      </c>
      <c r="H64" s="3" t="s">
        <v>25</v>
      </c>
      <c r="I64">
        <f t="shared" si="3"/>
        <v>9</v>
      </c>
      <c r="L64">
        <f t="shared" si="4"/>
        <v>5.7272727272727275</v>
      </c>
      <c r="O64">
        <f t="shared" si="5"/>
        <v>4.8461538461538458</v>
      </c>
      <c r="R64" s="8" t="s">
        <v>36</v>
      </c>
      <c r="S64">
        <f t="shared" si="6"/>
        <v>7</v>
      </c>
      <c r="V64" s="1" t="s">
        <v>12</v>
      </c>
      <c r="W64">
        <f t="shared" si="8"/>
        <v>0</v>
      </c>
    </row>
    <row r="65" spans="1:23" x14ac:dyDescent="0.3">
      <c r="A65">
        <v>64</v>
      </c>
      <c r="D65">
        <f t="shared" si="7"/>
        <v>21.333333333333332</v>
      </c>
      <c r="F65">
        <f t="shared" si="2"/>
        <v>12.8</v>
      </c>
      <c r="I65">
        <f t="shared" si="3"/>
        <v>9.1428571428571423</v>
      </c>
      <c r="L65">
        <f t="shared" si="4"/>
        <v>5.8181818181818183</v>
      </c>
      <c r="O65">
        <f t="shared" si="5"/>
        <v>4.9230769230769234</v>
      </c>
      <c r="S65">
        <f t="shared" si="6"/>
        <v>7.1111111111111107</v>
      </c>
      <c r="W65">
        <f t="shared" si="8"/>
        <v>0</v>
      </c>
    </row>
    <row r="66" spans="1:23" x14ac:dyDescent="0.3">
      <c r="A66">
        <v>65</v>
      </c>
      <c r="D66">
        <f t="shared" si="7"/>
        <v>21.666666666666668</v>
      </c>
      <c r="E66" s="2" t="s">
        <v>18</v>
      </c>
      <c r="F66">
        <f t="shared" si="2"/>
        <v>13</v>
      </c>
      <c r="I66">
        <f t="shared" si="3"/>
        <v>9.2857142857142865</v>
      </c>
      <c r="L66">
        <f t="shared" si="4"/>
        <v>5.9090909090909092</v>
      </c>
      <c r="N66" s="7" t="s">
        <v>32</v>
      </c>
      <c r="O66">
        <f t="shared" si="5"/>
        <v>5</v>
      </c>
      <c r="S66">
        <f t="shared" si="6"/>
        <v>7.2222222222222223</v>
      </c>
      <c r="W66">
        <f t="shared" ref="W66:W96" si="9">Q66/3</f>
        <v>0</v>
      </c>
    </row>
    <row r="67" spans="1:23" x14ac:dyDescent="0.3">
      <c r="A67">
        <v>66</v>
      </c>
      <c r="D67">
        <f t="shared" ref="D67:D96" si="10">A67/3</f>
        <v>22</v>
      </c>
      <c r="F67">
        <f t="shared" ref="F67:F96" si="11">A67/5</f>
        <v>13.2</v>
      </c>
      <c r="I67">
        <f t="shared" ref="I67:I96" si="12">A67/7</f>
        <v>9.4285714285714288</v>
      </c>
      <c r="L67">
        <f t="shared" ref="L67:L96" si="13">A67/11</f>
        <v>6</v>
      </c>
      <c r="O67">
        <f t="shared" ref="O67:O96" si="14">A67/13</f>
        <v>5.0769230769230766</v>
      </c>
      <c r="S67">
        <f t="shared" ref="S67:S96" si="15">A67/9</f>
        <v>7.333333333333333</v>
      </c>
      <c r="W67">
        <f t="shared" si="9"/>
        <v>0</v>
      </c>
    </row>
    <row r="68" spans="1:23" x14ac:dyDescent="0.3">
      <c r="A68">
        <v>67</v>
      </c>
      <c r="D68">
        <f t="shared" si="10"/>
        <v>22.333333333333332</v>
      </c>
      <c r="F68">
        <f t="shared" si="11"/>
        <v>13.4</v>
      </c>
      <c r="I68">
        <f t="shared" si="12"/>
        <v>9.5714285714285712</v>
      </c>
      <c r="L68">
        <f t="shared" si="13"/>
        <v>6.0909090909090908</v>
      </c>
      <c r="O68">
        <f t="shared" si="14"/>
        <v>5.1538461538461542</v>
      </c>
      <c r="S68">
        <f t="shared" si="15"/>
        <v>7.4444444444444446</v>
      </c>
      <c r="W68">
        <f t="shared" si="9"/>
        <v>0</v>
      </c>
    </row>
    <row r="69" spans="1:23" x14ac:dyDescent="0.3">
      <c r="A69">
        <v>68</v>
      </c>
      <c r="D69">
        <f t="shared" si="10"/>
        <v>22.666666666666668</v>
      </c>
      <c r="F69">
        <f t="shared" si="11"/>
        <v>13.6</v>
      </c>
      <c r="I69">
        <f t="shared" si="12"/>
        <v>9.7142857142857135</v>
      </c>
      <c r="L69">
        <f t="shared" si="13"/>
        <v>6.1818181818181817</v>
      </c>
      <c r="O69">
        <f t="shared" si="14"/>
        <v>5.2307692307692308</v>
      </c>
      <c r="S69">
        <f t="shared" si="15"/>
        <v>7.5555555555555554</v>
      </c>
      <c r="W69">
        <f t="shared" si="9"/>
        <v>0</v>
      </c>
    </row>
    <row r="70" spans="1:23" x14ac:dyDescent="0.3">
      <c r="A70">
        <v>69</v>
      </c>
      <c r="C70" s="1" t="s">
        <v>13</v>
      </c>
      <c r="D70">
        <f t="shared" si="10"/>
        <v>23</v>
      </c>
      <c r="F70">
        <f t="shared" si="11"/>
        <v>13.8</v>
      </c>
      <c r="I70">
        <f t="shared" si="12"/>
        <v>9.8571428571428577</v>
      </c>
      <c r="L70">
        <f t="shared" si="13"/>
        <v>6.2727272727272725</v>
      </c>
      <c r="O70">
        <f t="shared" si="14"/>
        <v>5.3076923076923075</v>
      </c>
      <c r="S70">
        <f t="shared" si="15"/>
        <v>7.666666666666667</v>
      </c>
      <c r="V70" s="1" t="s">
        <v>13</v>
      </c>
      <c r="W70">
        <f t="shared" si="9"/>
        <v>0</v>
      </c>
    </row>
    <row r="71" spans="1:23" x14ac:dyDescent="0.3">
      <c r="A71">
        <v>70</v>
      </c>
      <c r="D71">
        <f t="shared" si="10"/>
        <v>23.333333333333332</v>
      </c>
      <c r="F71">
        <f t="shared" si="11"/>
        <v>14</v>
      </c>
      <c r="I71">
        <f t="shared" si="12"/>
        <v>10</v>
      </c>
      <c r="L71">
        <f t="shared" si="13"/>
        <v>6.3636363636363633</v>
      </c>
      <c r="O71">
        <f t="shared" si="14"/>
        <v>5.384615384615385</v>
      </c>
      <c r="S71">
        <f t="shared" si="15"/>
        <v>7.7777777777777777</v>
      </c>
      <c r="W71">
        <f t="shared" si="9"/>
        <v>0</v>
      </c>
    </row>
    <row r="72" spans="1:23" x14ac:dyDescent="0.3">
      <c r="A72">
        <v>71</v>
      </c>
      <c r="D72">
        <f t="shared" si="10"/>
        <v>23.666666666666668</v>
      </c>
      <c r="F72">
        <f t="shared" si="11"/>
        <v>14.2</v>
      </c>
      <c r="I72">
        <f t="shared" si="12"/>
        <v>10.142857142857142</v>
      </c>
      <c r="L72">
        <f t="shared" si="13"/>
        <v>6.4545454545454541</v>
      </c>
      <c r="O72">
        <f t="shared" si="14"/>
        <v>5.4615384615384617</v>
      </c>
      <c r="S72">
        <f t="shared" si="15"/>
        <v>7.8888888888888893</v>
      </c>
      <c r="W72">
        <f t="shared" si="9"/>
        <v>0</v>
      </c>
    </row>
    <row r="73" spans="1:23" x14ac:dyDescent="0.3">
      <c r="A73">
        <v>72</v>
      </c>
      <c r="D73">
        <f t="shared" si="10"/>
        <v>24</v>
      </c>
      <c r="F73">
        <f t="shared" si="11"/>
        <v>14.4</v>
      </c>
      <c r="I73">
        <f t="shared" si="12"/>
        <v>10.285714285714286</v>
      </c>
      <c r="L73">
        <f t="shared" si="13"/>
        <v>6.5454545454545459</v>
      </c>
      <c r="O73">
        <f t="shared" si="14"/>
        <v>5.5384615384615383</v>
      </c>
      <c r="S73">
        <f t="shared" si="15"/>
        <v>8</v>
      </c>
      <c r="W73">
        <f t="shared" si="9"/>
        <v>0</v>
      </c>
    </row>
    <row r="74" spans="1:23" x14ac:dyDescent="0.3">
      <c r="A74">
        <v>73</v>
      </c>
      <c r="D74">
        <f t="shared" si="10"/>
        <v>24.333333333333332</v>
      </c>
      <c r="F74">
        <f t="shared" si="11"/>
        <v>14.6</v>
      </c>
      <c r="I74">
        <f t="shared" si="12"/>
        <v>10.428571428571429</v>
      </c>
      <c r="L74">
        <f t="shared" si="13"/>
        <v>6.6363636363636367</v>
      </c>
      <c r="O74">
        <f t="shared" si="14"/>
        <v>5.615384615384615</v>
      </c>
      <c r="S74">
        <f t="shared" si="15"/>
        <v>8.1111111111111107</v>
      </c>
      <c r="W74">
        <f t="shared" si="9"/>
        <v>0</v>
      </c>
    </row>
    <row r="75" spans="1:23" x14ac:dyDescent="0.3">
      <c r="A75">
        <v>74</v>
      </c>
      <c r="D75">
        <f t="shared" si="10"/>
        <v>24.666666666666668</v>
      </c>
      <c r="F75">
        <f t="shared" si="11"/>
        <v>14.8</v>
      </c>
      <c r="I75">
        <f t="shared" si="12"/>
        <v>10.571428571428571</v>
      </c>
      <c r="L75">
        <f t="shared" si="13"/>
        <v>6.7272727272727275</v>
      </c>
      <c r="O75">
        <f t="shared" si="14"/>
        <v>5.6923076923076925</v>
      </c>
      <c r="S75">
        <f t="shared" si="15"/>
        <v>8.2222222222222214</v>
      </c>
      <c r="W75">
        <f t="shared" si="9"/>
        <v>0</v>
      </c>
    </row>
    <row r="76" spans="1:23" x14ac:dyDescent="0.3">
      <c r="A76">
        <v>75</v>
      </c>
      <c r="C76" s="1" t="s">
        <v>14</v>
      </c>
      <c r="D76">
        <f t="shared" si="10"/>
        <v>25</v>
      </c>
      <c r="E76" s="2" t="s">
        <v>14</v>
      </c>
      <c r="F76">
        <f t="shared" si="11"/>
        <v>15</v>
      </c>
      <c r="I76">
        <f t="shared" si="12"/>
        <v>10.714285714285714</v>
      </c>
      <c r="L76">
        <f t="shared" si="13"/>
        <v>6.8181818181818183</v>
      </c>
      <c r="O76">
        <f t="shared" si="14"/>
        <v>5.7692307692307692</v>
      </c>
      <c r="S76">
        <f t="shared" si="15"/>
        <v>8.3333333333333339</v>
      </c>
      <c r="V76" s="1" t="s">
        <v>14</v>
      </c>
      <c r="W76">
        <f t="shared" si="9"/>
        <v>0</v>
      </c>
    </row>
    <row r="77" spans="1:23" x14ac:dyDescent="0.3">
      <c r="A77">
        <v>76</v>
      </c>
      <c r="D77">
        <f t="shared" si="10"/>
        <v>25.333333333333332</v>
      </c>
      <c r="F77">
        <f t="shared" si="11"/>
        <v>15.2</v>
      </c>
      <c r="I77">
        <f t="shared" si="12"/>
        <v>10.857142857142858</v>
      </c>
      <c r="L77">
        <f t="shared" si="13"/>
        <v>6.9090909090909092</v>
      </c>
      <c r="O77">
        <f t="shared" si="14"/>
        <v>5.8461538461538458</v>
      </c>
      <c r="S77">
        <f t="shared" si="15"/>
        <v>8.4444444444444446</v>
      </c>
      <c r="W77">
        <f t="shared" si="9"/>
        <v>0</v>
      </c>
    </row>
    <row r="78" spans="1:23" x14ac:dyDescent="0.3">
      <c r="A78">
        <v>77</v>
      </c>
      <c r="D78">
        <f t="shared" si="10"/>
        <v>25.666666666666668</v>
      </c>
      <c r="F78">
        <f t="shared" si="11"/>
        <v>15.4</v>
      </c>
      <c r="H78" s="3" t="s">
        <v>26</v>
      </c>
      <c r="I78">
        <f t="shared" si="12"/>
        <v>11</v>
      </c>
      <c r="K78" s="4" t="s">
        <v>30</v>
      </c>
      <c r="L78">
        <f t="shared" si="13"/>
        <v>7</v>
      </c>
      <c r="O78">
        <f t="shared" si="14"/>
        <v>5.9230769230769234</v>
      </c>
      <c r="S78">
        <f t="shared" si="15"/>
        <v>8.5555555555555554</v>
      </c>
      <c r="W78">
        <f t="shared" si="9"/>
        <v>0</v>
      </c>
    </row>
    <row r="79" spans="1:23" x14ac:dyDescent="0.3">
      <c r="A79">
        <v>78</v>
      </c>
      <c r="D79">
        <f t="shared" si="10"/>
        <v>26</v>
      </c>
      <c r="F79">
        <f t="shared" si="11"/>
        <v>15.6</v>
      </c>
      <c r="I79">
        <f t="shared" si="12"/>
        <v>11.142857142857142</v>
      </c>
      <c r="L79">
        <f t="shared" si="13"/>
        <v>7.0909090909090908</v>
      </c>
      <c r="O79">
        <f t="shared" si="14"/>
        <v>6</v>
      </c>
      <c r="S79">
        <f t="shared" si="15"/>
        <v>8.6666666666666661</v>
      </c>
      <c r="W79">
        <f t="shared" si="9"/>
        <v>0</v>
      </c>
    </row>
    <row r="80" spans="1:23" x14ac:dyDescent="0.3">
      <c r="A80">
        <v>79</v>
      </c>
      <c r="D80">
        <f t="shared" si="10"/>
        <v>26.333333333333332</v>
      </c>
      <c r="F80">
        <f t="shared" si="11"/>
        <v>15.8</v>
      </c>
      <c r="I80">
        <f t="shared" si="12"/>
        <v>11.285714285714286</v>
      </c>
      <c r="L80">
        <f t="shared" si="13"/>
        <v>7.1818181818181817</v>
      </c>
      <c r="O80">
        <f t="shared" si="14"/>
        <v>6.0769230769230766</v>
      </c>
      <c r="S80">
        <f t="shared" si="15"/>
        <v>8.7777777777777786</v>
      </c>
      <c r="W80">
        <f t="shared" si="9"/>
        <v>0</v>
      </c>
    </row>
    <row r="81" spans="1:23" x14ac:dyDescent="0.3">
      <c r="A81">
        <v>80</v>
      </c>
      <c r="D81">
        <f t="shared" si="10"/>
        <v>26.666666666666668</v>
      </c>
      <c r="F81">
        <f t="shared" si="11"/>
        <v>16</v>
      </c>
      <c r="I81">
        <f t="shared" si="12"/>
        <v>11.428571428571429</v>
      </c>
      <c r="L81">
        <f t="shared" si="13"/>
        <v>7.2727272727272725</v>
      </c>
      <c r="O81">
        <f t="shared" si="14"/>
        <v>6.1538461538461542</v>
      </c>
      <c r="S81">
        <f t="shared" si="15"/>
        <v>8.8888888888888893</v>
      </c>
      <c r="W81">
        <f t="shared" si="9"/>
        <v>0</v>
      </c>
    </row>
    <row r="82" spans="1:23" x14ac:dyDescent="0.3">
      <c r="A82">
        <v>81</v>
      </c>
      <c r="C82" s="1" t="s">
        <v>15</v>
      </c>
      <c r="D82">
        <f t="shared" si="10"/>
        <v>27</v>
      </c>
      <c r="F82">
        <f t="shared" si="11"/>
        <v>16.2</v>
      </c>
      <c r="I82">
        <f t="shared" si="12"/>
        <v>11.571428571428571</v>
      </c>
      <c r="L82">
        <f t="shared" si="13"/>
        <v>7.3636363636363633</v>
      </c>
      <c r="O82">
        <f t="shared" si="14"/>
        <v>6.2307692307692308</v>
      </c>
      <c r="R82" s="8" t="s">
        <v>24</v>
      </c>
      <c r="S82">
        <f t="shared" si="15"/>
        <v>9</v>
      </c>
      <c r="V82" s="1" t="s">
        <v>15</v>
      </c>
      <c r="W82">
        <f t="shared" si="9"/>
        <v>0</v>
      </c>
    </row>
    <row r="83" spans="1:23" x14ac:dyDescent="0.3">
      <c r="A83">
        <v>82</v>
      </c>
      <c r="D83">
        <f t="shared" si="10"/>
        <v>27.333333333333332</v>
      </c>
      <c r="F83">
        <f t="shared" si="11"/>
        <v>16.399999999999999</v>
      </c>
      <c r="I83">
        <f t="shared" si="12"/>
        <v>11.714285714285714</v>
      </c>
      <c r="L83">
        <f t="shared" si="13"/>
        <v>7.4545454545454541</v>
      </c>
      <c r="O83">
        <f t="shared" si="14"/>
        <v>6.3076923076923075</v>
      </c>
      <c r="S83">
        <f t="shared" si="15"/>
        <v>9.1111111111111107</v>
      </c>
      <c r="W83">
        <f t="shared" si="9"/>
        <v>0</v>
      </c>
    </row>
    <row r="84" spans="1:23" x14ac:dyDescent="0.3">
      <c r="A84">
        <v>83</v>
      </c>
      <c r="D84">
        <f t="shared" si="10"/>
        <v>27.666666666666668</v>
      </c>
      <c r="F84">
        <f t="shared" si="11"/>
        <v>16.600000000000001</v>
      </c>
      <c r="I84">
        <f t="shared" si="12"/>
        <v>11.857142857142858</v>
      </c>
      <c r="L84">
        <f t="shared" si="13"/>
        <v>7.5454545454545459</v>
      </c>
      <c r="O84">
        <f t="shared" si="14"/>
        <v>6.384615384615385</v>
      </c>
      <c r="S84">
        <f t="shared" si="15"/>
        <v>9.2222222222222214</v>
      </c>
      <c r="W84">
        <f t="shared" si="9"/>
        <v>0</v>
      </c>
    </row>
    <row r="85" spans="1:23" x14ac:dyDescent="0.3">
      <c r="A85">
        <v>84</v>
      </c>
      <c r="D85">
        <f t="shared" si="10"/>
        <v>28</v>
      </c>
      <c r="F85">
        <f t="shared" si="11"/>
        <v>16.8</v>
      </c>
      <c r="I85">
        <f t="shared" si="12"/>
        <v>12</v>
      </c>
      <c r="L85">
        <f t="shared" si="13"/>
        <v>7.6363636363636367</v>
      </c>
      <c r="O85">
        <f t="shared" si="14"/>
        <v>6.4615384615384617</v>
      </c>
      <c r="S85">
        <f t="shared" si="15"/>
        <v>9.3333333333333339</v>
      </c>
      <c r="W85">
        <f t="shared" si="9"/>
        <v>0</v>
      </c>
    </row>
    <row r="86" spans="1:23" x14ac:dyDescent="0.3">
      <c r="A86">
        <v>85</v>
      </c>
      <c r="D86">
        <f t="shared" si="10"/>
        <v>28.333333333333332</v>
      </c>
      <c r="E86" s="2" t="s">
        <v>19</v>
      </c>
      <c r="F86">
        <f t="shared" si="11"/>
        <v>17</v>
      </c>
      <c r="I86">
        <f t="shared" si="12"/>
        <v>12.142857142857142</v>
      </c>
      <c r="L86">
        <f t="shared" si="13"/>
        <v>7.7272727272727275</v>
      </c>
      <c r="O86">
        <f t="shared" si="14"/>
        <v>6.5384615384615383</v>
      </c>
      <c r="S86">
        <f t="shared" si="15"/>
        <v>9.4444444444444446</v>
      </c>
      <c r="W86">
        <f t="shared" si="9"/>
        <v>0</v>
      </c>
    </row>
    <row r="87" spans="1:23" x14ac:dyDescent="0.3">
      <c r="A87">
        <v>86</v>
      </c>
      <c r="D87">
        <f t="shared" si="10"/>
        <v>28.666666666666668</v>
      </c>
      <c r="F87">
        <f t="shared" si="11"/>
        <v>17.2</v>
      </c>
      <c r="I87">
        <f t="shared" si="12"/>
        <v>12.285714285714286</v>
      </c>
      <c r="L87">
        <f t="shared" si="13"/>
        <v>7.8181818181818183</v>
      </c>
      <c r="O87">
        <f t="shared" si="14"/>
        <v>6.615384615384615</v>
      </c>
      <c r="S87">
        <f t="shared" si="15"/>
        <v>9.5555555555555554</v>
      </c>
      <c r="W87">
        <f t="shared" si="9"/>
        <v>0</v>
      </c>
    </row>
    <row r="88" spans="1:23" x14ac:dyDescent="0.3">
      <c r="A88">
        <v>87</v>
      </c>
      <c r="C88" s="1" t="s">
        <v>16</v>
      </c>
      <c r="D88">
        <f t="shared" si="10"/>
        <v>29</v>
      </c>
      <c r="F88">
        <f t="shared" si="11"/>
        <v>17.399999999999999</v>
      </c>
      <c r="I88">
        <f t="shared" si="12"/>
        <v>12.428571428571429</v>
      </c>
      <c r="L88">
        <f t="shared" si="13"/>
        <v>7.9090909090909092</v>
      </c>
      <c r="O88">
        <f t="shared" si="14"/>
        <v>6.6923076923076925</v>
      </c>
      <c r="S88">
        <f t="shared" si="15"/>
        <v>9.6666666666666661</v>
      </c>
      <c r="V88" s="1" t="s">
        <v>16</v>
      </c>
      <c r="W88">
        <f t="shared" si="9"/>
        <v>0</v>
      </c>
    </row>
    <row r="89" spans="1:23" x14ac:dyDescent="0.3">
      <c r="A89">
        <v>88</v>
      </c>
      <c r="D89">
        <f t="shared" si="10"/>
        <v>29.333333333333332</v>
      </c>
      <c r="F89">
        <f t="shared" si="11"/>
        <v>17.600000000000001</v>
      </c>
      <c r="I89">
        <f t="shared" si="12"/>
        <v>12.571428571428571</v>
      </c>
      <c r="L89">
        <f t="shared" si="13"/>
        <v>8</v>
      </c>
      <c r="O89">
        <f t="shared" si="14"/>
        <v>6.7692307692307692</v>
      </c>
      <c r="S89">
        <f t="shared" si="15"/>
        <v>9.7777777777777786</v>
      </c>
      <c r="W89">
        <f t="shared" si="9"/>
        <v>0</v>
      </c>
    </row>
    <row r="90" spans="1:23" x14ac:dyDescent="0.3">
      <c r="A90">
        <v>89</v>
      </c>
      <c r="D90">
        <f t="shared" si="10"/>
        <v>29.666666666666668</v>
      </c>
      <c r="F90">
        <f t="shared" si="11"/>
        <v>17.8</v>
      </c>
      <c r="I90">
        <f t="shared" si="12"/>
        <v>12.714285714285714</v>
      </c>
      <c r="L90">
        <f t="shared" si="13"/>
        <v>8.0909090909090917</v>
      </c>
      <c r="O90">
        <f t="shared" si="14"/>
        <v>6.8461538461538458</v>
      </c>
      <c r="S90">
        <f t="shared" si="15"/>
        <v>9.8888888888888893</v>
      </c>
      <c r="W90">
        <f t="shared" si="9"/>
        <v>0</v>
      </c>
    </row>
    <row r="91" spans="1:23" x14ac:dyDescent="0.3">
      <c r="A91">
        <v>90</v>
      </c>
      <c r="D91">
        <f t="shared" si="10"/>
        <v>30</v>
      </c>
      <c r="F91">
        <f t="shared" si="11"/>
        <v>18</v>
      </c>
      <c r="I91">
        <f t="shared" si="12"/>
        <v>12.857142857142858</v>
      </c>
      <c r="L91">
        <f t="shared" si="13"/>
        <v>8.1818181818181817</v>
      </c>
      <c r="O91">
        <f t="shared" si="14"/>
        <v>6.9230769230769234</v>
      </c>
      <c r="S91">
        <f t="shared" si="15"/>
        <v>10</v>
      </c>
      <c r="W91">
        <f t="shared" si="9"/>
        <v>0</v>
      </c>
    </row>
    <row r="92" spans="1:23" x14ac:dyDescent="0.3">
      <c r="A92">
        <v>91</v>
      </c>
      <c r="D92">
        <f t="shared" si="10"/>
        <v>30.333333333333332</v>
      </c>
      <c r="F92">
        <f t="shared" si="11"/>
        <v>18.2</v>
      </c>
      <c r="H92" s="3" t="s">
        <v>27</v>
      </c>
      <c r="I92">
        <f t="shared" si="12"/>
        <v>13</v>
      </c>
      <c r="L92">
        <f t="shared" si="13"/>
        <v>8.2727272727272734</v>
      </c>
      <c r="N92" s="7" t="s">
        <v>33</v>
      </c>
      <c r="O92">
        <f t="shared" si="14"/>
        <v>7</v>
      </c>
      <c r="S92">
        <f t="shared" si="15"/>
        <v>10.111111111111111</v>
      </c>
      <c r="W92">
        <f t="shared" si="9"/>
        <v>0</v>
      </c>
    </row>
    <row r="93" spans="1:23" x14ac:dyDescent="0.3">
      <c r="A93">
        <v>92</v>
      </c>
      <c r="D93">
        <f t="shared" si="10"/>
        <v>30.666666666666668</v>
      </c>
      <c r="F93">
        <f t="shared" si="11"/>
        <v>18.399999999999999</v>
      </c>
      <c r="I93">
        <f t="shared" si="12"/>
        <v>13.142857142857142</v>
      </c>
      <c r="L93">
        <f t="shared" si="13"/>
        <v>8.3636363636363633</v>
      </c>
      <c r="O93">
        <f t="shared" si="14"/>
        <v>7.0769230769230766</v>
      </c>
      <c r="S93">
        <f t="shared" si="15"/>
        <v>10.222222222222221</v>
      </c>
      <c r="W93">
        <f t="shared" si="9"/>
        <v>0</v>
      </c>
    </row>
    <row r="94" spans="1:23" x14ac:dyDescent="0.3">
      <c r="A94">
        <v>93</v>
      </c>
      <c r="C94" s="1" t="s">
        <v>20</v>
      </c>
      <c r="D94">
        <f t="shared" si="10"/>
        <v>31</v>
      </c>
      <c r="F94">
        <f t="shared" si="11"/>
        <v>18.600000000000001</v>
      </c>
      <c r="I94">
        <f t="shared" si="12"/>
        <v>13.285714285714286</v>
      </c>
      <c r="L94">
        <f t="shared" si="13"/>
        <v>8.454545454545455</v>
      </c>
      <c r="O94">
        <f t="shared" si="14"/>
        <v>7.1538461538461542</v>
      </c>
      <c r="S94">
        <f t="shared" si="15"/>
        <v>10.333333333333334</v>
      </c>
      <c r="V94" s="1" t="s">
        <v>20</v>
      </c>
      <c r="W94">
        <f t="shared" si="9"/>
        <v>0</v>
      </c>
    </row>
    <row r="95" spans="1:23" x14ac:dyDescent="0.3">
      <c r="A95">
        <v>94</v>
      </c>
      <c r="D95">
        <f t="shared" si="10"/>
        <v>31.333333333333332</v>
      </c>
      <c r="F95">
        <f t="shared" si="11"/>
        <v>18.8</v>
      </c>
      <c r="I95">
        <f t="shared" si="12"/>
        <v>13.428571428571429</v>
      </c>
      <c r="L95">
        <f t="shared" si="13"/>
        <v>8.545454545454545</v>
      </c>
      <c r="O95">
        <f t="shared" si="14"/>
        <v>7.2307692307692308</v>
      </c>
      <c r="S95">
        <f t="shared" si="15"/>
        <v>10.444444444444445</v>
      </c>
      <c r="W95">
        <f t="shared" si="9"/>
        <v>0</v>
      </c>
    </row>
    <row r="96" spans="1:23" x14ac:dyDescent="0.3">
      <c r="A96">
        <v>95</v>
      </c>
      <c r="D96">
        <f t="shared" si="10"/>
        <v>31.666666666666668</v>
      </c>
      <c r="E96" s="2" t="s">
        <v>21</v>
      </c>
      <c r="F96">
        <f t="shared" si="11"/>
        <v>19</v>
      </c>
      <c r="I96">
        <f t="shared" si="12"/>
        <v>13.571428571428571</v>
      </c>
      <c r="L96">
        <f t="shared" si="13"/>
        <v>8.6363636363636367</v>
      </c>
      <c r="O96">
        <f t="shared" si="14"/>
        <v>7.3076923076923075</v>
      </c>
      <c r="S96">
        <f t="shared" si="15"/>
        <v>10.555555555555555</v>
      </c>
      <c r="W96">
        <f t="shared" si="9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F29E-96FB-4313-9C22-2A150A21E6E7}">
  <dimension ref="A1:Q96"/>
  <sheetViews>
    <sheetView zoomScale="75" zoomScaleNormal="75" workbookViewId="0">
      <selection activeCell="A46" sqref="A46"/>
    </sheetView>
  </sheetViews>
  <sheetFormatPr defaultRowHeight="14.4" x14ac:dyDescent="0.3"/>
  <sheetData>
    <row r="1" spans="1:17" x14ac:dyDescent="0.3">
      <c r="A1" s="9" t="s">
        <v>37</v>
      </c>
      <c r="F1" s="9" t="s">
        <v>43</v>
      </c>
      <c r="I1" s="9" t="s">
        <v>44</v>
      </c>
      <c r="M1" s="9" t="s">
        <v>45</v>
      </c>
      <c r="Q1" s="9" t="s">
        <v>46</v>
      </c>
    </row>
    <row r="2" spans="1:17" x14ac:dyDescent="0.3">
      <c r="A2">
        <v>1</v>
      </c>
      <c r="F2">
        <f>A2/9</f>
        <v>0.1111111111111111</v>
      </c>
      <c r="I2">
        <f>A2/15</f>
        <v>6.6666666666666666E-2</v>
      </c>
      <c r="M2">
        <f>A2/21</f>
        <v>4.7619047619047616E-2</v>
      </c>
      <c r="Q2">
        <f>A2/25</f>
        <v>0.04</v>
      </c>
    </row>
    <row r="3" spans="1:17" x14ac:dyDescent="0.3">
      <c r="A3">
        <v>2</v>
      </c>
      <c r="F3">
        <f t="shared" ref="F3:F66" si="0">A3/9</f>
        <v>0.22222222222222221</v>
      </c>
      <c r="I3">
        <f t="shared" ref="I3:I66" si="1">A3/15</f>
        <v>0.13333333333333333</v>
      </c>
      <c r="M3">
        <f t="shared" ref="M3:M66" si="2">A3/21</f>
        <v>9.5238095238095233E-2</v>
      </c>
      <c r="Q3">
        <f t="shared" ref="Q3:Q66" si="3">A3/25</f>
        <v>0.08</v>
      </c>
    </row>
    <row r="4" spans="1:17" x14ac:dyDescent="0.3">
      <c r="A4">
        <v>3</v>
      </c>
      <c r="F4">
        <f t="shared" si="0"/>
        <v>0.33333333333333331</v>
      </c>
      <c r="I4">
        <f t="shared" si="1"/>
        <v>0.2</v>
      </c>
      <c r="M4">
        <f t="shared" si="2"/>
        <v>0.14285714285714285</v>
      </c>
      <c r="Q4">
        <f t="shared" si="3"/>
        <v>0.12</v>
      </c>
    </row>
    <row r="5" spans="1:17" x14ac:dyDescent="0.3">
      <c r="A5">
        <v>4</v>
      </c>
      <c r="F5">
        <f t="shared" si="0"/>
        <v>0.44444444444444442</v>
      </c>
      <c r="I5">
        <f t="shared" si="1"/>
        <v>0.26666666666666666</v>
      </c>
      <c r="M5">
        <f t="shared" si="2"/>
        <v>0.19047619047619047</v>
      </c>
      <c r="Q5">
        <f t="shared" si="3"/>
        <v>0.16</v>
      </c>
    </row>
    <row r="6" spans="1:17" x14ac:dyDescent="0.3">
      <c r="A6">
        <v>5</v>
      </c>
      <c r="F6">
        <f t="shared" si="0"/>
        <v>0.55555555555555558</v>
      </c>
      <c r="I6">
        <f t="shared" si="1"/>
        <v>0.33333333333333331</v>
      </c>
      <c r="M6">
        <f t="shared" si="2"/>
        <v>0.23809523809523808</v>
      </c>
      <c r="Q6">
        <f t="shared" si="3"/>
        <v>0.2</v>
      </c>
    </row>
    <row r="7" spans="1:17" x14ac:dyDescent="0.3">
      <c r="A7">
        <v>6</v>
      </c>
      <c r="F7">
        <f t="shared" si="0"/>
        <v>0.66666666666666663</v>
      </c>
      <c r="I7">
        <f t="shared" si="1"/>
        <v>0.4</v>
      </c>
      <c r="M7">
        <f t="shared" si="2"/>
        <v>0.2857142857142857</v>
      </c>
      <c r="Q7">
        <f t="shared" si="3"/>
        <v>0.24</v>
      </c>
    </row>
    <row r="8" spans="1:17" x14ac:dyDescent="0.3">
      <c r="A8">
        <v>7</v>
      </c>
      <c r="F8">
        <f t="shared" si="0"/>
        <v>0.77777777777777779</v>
      </c>
      <c r="I8">
        <f t="shared" si="1"/>
        <v>0.46666666666666667</v>
      </c>
      <c r="M8">
        <f t="shared" si="2"/>
        <v>0.33333333333333331</v>
      </c>
      <c r="Q8">
        <f t="shared" si="3"/>
        <v>0.28000000000000003</v>
      </c>
    </row>
    <row r="9" spans="1:17" x14ac:dyDescent="0.3">
      <c r="A9">
        <v>8</v>
      </c>
      <c r="F9">
        <f t="shared" si="0"/>
        <v>0.88888888888888884</v>
      </c>
      <c r="I9">
        <f t="shared" si="1"/>
        <v>0.53333333333333333</v>
      </c>
      <c r="M9">
        <f t="shared" si="2"/>
        <v>0.38095238095238093</v>
      </c>
      <c r="Q9">
        <f t="shared" si="3"/>
        <v>0.32</v>
      </c>
    </row>
    <row r="10" spans="1:17" x14ac:dyDescent="0.3">
      <c r="A10">
        <v>9</v>
      </c>
      <c r="E10" s="8">
        <v>9</v>
      </c>
      <c r="F10">
        <f t="shared" si="0"/>
        <v>1</v>
      </c>
      <c r="I10">
        <f t="shared" si="1"/>
        <v>0.6</v>
      </c>
      <c r="M10">
        <f t="shared" si="2"/>
        <v>0.42857142857142855</v>
      </c>
      <c r="Q10">
        <f t="shared" si="3"/>
        <v>0.36</v>
      </c>
    </row>
    <row r="11" spans="1:17" x14ac:dyDescent="0.3">
      <c r="A11">
        <v>10</v>
      </c>
      <c r="E11" s="5">
        <v>1</v>
      </c>
      <c r="F11">
        <f t="shared" si="0"/>
        <v>1.1111111111111112</v>
      </c>
      <c r="I11">
        <f t="shared" si="1"/>
        <v>0.66666666666666663</v>
      </c>
      <c r="M11">
        <f t="shared" si="2"/>
        <v>0.47619047619047616</v>
      </c>
      <c r="Q11">
        <f t="shared" si="3"/>
        <v>0.4</v>
      </c>
    </row>
    <row r="12" spans="1:17" x14ac:dyDescent="0.3">
      <c r="A12">
        <v>11</v>
      </c>
      <c r="E12" s="5">
        <v>2</v>
      </c>
      <c r="F12">
        <f t="shared" si="0"/>
        <v>1.2222222222222223</v>
      </c>
      <c r="I12">
        <f t="shared" si="1"/>
        <v>0.73333333333333328</v>
      </c>
      <c r="M12">
        <f t="shared" si="2"/>
        <v>0.52380952380952384</v>
      </c>
      <c r="Q12">
        <f t="shared" si="3"/>
        <v>0.44</v>
      </c>
    </row>
    <row r="13" spans="1:17" x14ac:dyDescent="0.3">
      <c r="A13">
        <v>12</v>
      </c>
      <c r="E13" s="5">
        <v>3</v>
      </c>
      <c r="F13">
        <f t="shared" si="0"/>
        <v>1.3333333333333333</v>
      </c>
      <c r="I13">
        <f t="shared" si="1"/>
        <v>0.8</v>
      </c>
      <c r="M13">
        <f t="shared" si="2"/>
        <v>0.5714285714285714</v>
      </c>
      <c r="Q13">
        <f t="shared" si="3"/>
        <v>0.48</v>
      </c>
    </row>
    <row r="14" spans="1:17" x14ac:dyDescent="0.3">
      <c r="A14">
        <v>13</v>
      </c>
      <c r="E14" s="5">
        <v>4</v>
      </c>
      <c r="F14">
        <f t="shared" si="0"/>
        <v>1.4444444444444444</v>
      </c>
      <c r="I14">
        <f t="shared" si="1"/>
        <v>0.8666666666666667</v>
      </c>
      <c r="M14">
        <f t="shared" si="2"/>
        <v>0.61904761904761907</v>
      </c>
      <c r="Q14">
        <f t="shared" si="3"/>
        <v>0.52</v>
      </c>
    </row>
    <row r="15" spans="1:17" x14ac:dyDescent="0.3">
      <c r="A15">
        <v>14</v>
      </c>
      <c r="E15" s="5">
        <v>5</v>
      </c>
      <c r="F15">
        <f t="shared" si="0"/>
        <v>1.5555555555555556</v>
      </c>
      <c r="I15">
        <f t="shared" si="1"/>
        <v>0.93333333333333335</v>
      </c>
      <c r="M15">
        <f t="shared" si="2"/>
        <v>0.66666666666666663</v>
      </c>
      <c r="Q15">
        <f t="shared" si="3"/>
        <v>0.56000000000000005</v>
      </c>
    </row>
    <row r="16" spans="1:17" x14ac:dyDescent="0.3">
      <c r="A16">
        <v>15</v>
      </c>
      <c r="E16" s="5">
        <v>6</v>
      </c>
      <c r="F16">
        <f t="shared" si="0"/>
        <v>1.6666666666666667</v>
      </c>
      <c r="H16" s="1">
        <v>15</v>
      </c>
      <c r="I16">
        <f t="shared" si="1"/>
        <v>1</v>
      </c>
      <c r="M16">
        <f t="shared" si="2"/>
        <v>0.7142857142857143</v>
      </c>
      <c r="Q16">
        <f t="shared" si="3"/>
        <v>0.6</v>
      </c>
    </row>
    <row r="17" spans="1:17" x14ac:dyDescent="0.3">
      <c r="A17">
        <v>16</v>
      </c>
      <c r="E17" s="5">
        <v>7</v>
      </c>
      <c r="F17">
        <f t="shared" si="0"/>
        <v>1.7777777777777777</v>
      </c>
      <c r="H17">
        <v>1</v>
      </c>
      <c r="I17">
        <f t="shared" si="1"/>
        <v>1.0666666666666667</v>
      </c>
      <c r="M17">
        <f t="shared" si="2"/>
        <v>0.76190476190476186</v>
      </c>
      <c r="Q17">
        <f t="shared" si="3"/>
        <v>0.64</v>
      </c>
    </row>
    <row r="18" spans="1:17" x14ac:dyDescent="0.3">
      <c r="A18">
        <v>17</v>
      </c>
      <c r="E18" s="5">
        <v>8</v>
      </c>
      <c r="F18">
        <f t="shared" si="0"/>
        <v>1.8888888888888888</v>
      </c>
      <c r="H18">
        <v>2</v>
      </c>
      <c r="I18">
        <f t="shared" si="1"/>
        <v>1.1333333333333333</v>
      </c>
      <c r="M18">
        <f t="shared" si="2"/>
        <v>0.80952380952380953</v>
      </c>
      <c r="Q18">
        <f t="shared" si="3"/>
        <v>0.68</v>
      </c>
    </row>
    <row r="19" spans="1:17" x14ac:dyDescent="0.3">
      <c r="A19">
        <v>18</v>
      </c>
      <c r="E19" s="5">
        <v>9</v>
      </c>
      <c r="F19">
        <f t="shared" si="0"/>
        <v>2</v>
      </c>
      <c r="H19">
        <v>3</v>
      </c>
      <c r="I19">
        <f t="shared" si="1"/>
        <v>1.2</v>
      </c>
      <c r="M19">
        <f t="shared" si="2"/>
        <v>0.8571428571428571</v>
      </c>
      <c r="Q19">
        <f t="shared" si="3"/>
        <v>0.72</v>
      </c>
    </row>
    <row r="20" spans="1:17" x14ac:dyDescent="0.3">
      <c r="A20">
        <v>19</v>
      </c>
      <c r="E20" s="5">
        <v>10</v>
      </c>
      <c r="F20">
        <f t="shared" si="0"/>
        <v>2.1111111111111112</v>
      </c>
      <c r="H20">
        <v>4</v>
      </c>
      <c r="I20">
        <f t="shared" si="1"/>
        <v>1.2666666666666666</v>
      </c>
      <c r="M20">
        <f t="shared" si="2"/>
        <v>0.90476190476190477</v>
      </c>
      <c r="Q20">
        <f t="shared" si="3"/>
        <v>0.76</v>
      </c>
    </row>
    <row r="21" spans="1:17" x14ac:dyDescent="0.3">
      <c r="A21">
        <v>20</v>
      </c>
      <c r="E21" s="5">
        <v>11</v>
      </c>
      <c r="F21">
        <f t="shared" si="0"/>
        <v>2.2222222222222223</v>
      </c>
      <c r="H21">
        <v>5</v>
      </c>
      <c r="I21">
        <f t="shared" si="1"/>
        <v>1.3333333333333333</v>
      </c>
      <c r="M21">
        <f t="shared" si="2"/>
        <v>0.95238095238095233</v>
      </c>
      <c r="Q21">
        <f t="shared" si="3"/>
        <v>0.8</v>
      </c>
    </row>
    <row r="22" spans="1:17" x14ac:dyDescent="0.3">
      <c r="A22">
        <v>21</v>
      </c>
      <c r="E22" s="5">
        <v>12</v>
      </c>
      <c r="F22">
        <f t="shared" si="0"/>
        <v>2.3333333333333335</v>
      </c>
      <c r="H22">
        <v>6</v>
      </c>
      <c r="I22">
        <f t="shared" si="1"/>
        <v>1.4</v>
      </c>
      <c r="L22" s="1">
        <v>21</v>
      </c>
      <c r="M22">
        <f t="shared" si="2"/>
        <v>1</v>
      </c>
      <c r="Q22">
        <f t="shared" si="3"/>
        <v>0.84</v>
      </c>
    </row>
    <row r="23" spans="1:17" x14ac:dyDescent="0.3">
      <c r="A23">
        <v>22</v>
      </c>
      <c r="E23" s="5">
        <v>13</v>
      </c>
      <c r="F23">
        <f t="shared" si="0"/>
        <v>2.4444444444444446</v>
      </c>
      <c r="H23">
        <v>7</v>
      </c>
      <c r="I23">
        <f t="shared" si="1"/>
        <v>1.4666666666666666</v>
      </c>
      <c r="L23">
        <v>1</v>
      </c>
      <c r="M23">
        <f t="shared" si="2"/>
        <v>1.0476190476190477</v>
      </c>
      <c r="Q23">
        <f t="shared" si="3"/>
        <v>0.88</v>
      </c>
    </row>
    <row r="24" spans="1:17" x14ac:dyDescent="0.3">
      <c r="A24">
        <v>23</v>
      </c>
      <c r="E24" s="5">
        <v>14</v>
      </c>
      <c r="F24">
        <f t="shared" si="0"/>
        <v>2.5555555555555554</v>
      </c>
      <c r="H24">
        <v>8</v>
      </c>
      <c r="I24">
        <f t="shared" si="1"/>
        <v>1.5333333333333334</v>
      </c>
      <c r="L24">
        <v>2</v>
      </c>
      <c r="M24">
        <f t="shared" si="2"/>
        <v>1.0952380952380953</v>
      </c>
      <c r="Q24">
        <f t="shared" si="3"/>
        <v>0.92</v>
      </c>
    </row>
    <row r="25" spans="1:17" x14ac:dyDescent="0.3">
      <c r="A25">
        <v>24</v>
      </c>
      <c r="E25" s="5">
        <v>15</v>
      </c>
      <c r="F25">
        <f t="shared" si="0"/>
        <v>2.6666666666666665</v>
      </c>
      <c r="H25">
        <v>9</v>
      </c>
      <c r="I25">
        <f t="shared" si="1"/>
        <v>1.6</v>
      </c>
      <c r="L25">
        <v>3</v>
      </c>
      <c r="M25">
        <f t="shared" si="2"/>
        <v>1.1428571428571428</v>
      </c>
      <c r="Q25">
        <f t="shared" si="3"/>
        <v>0.96</v>
      </c>
    </row>
    <row r="26" spans="1:17" x14ac:dyDescent="0.3">
      <c r="A26">
        <v>25</v>
      </c>
      <c r="E26" s="5">
        <v>16</v>
      </c>
      <c r="F26">
        <f t="shared" si="0"/>
        <v>2.7777777777777777</v>
      </c>
      <c r="H26">
        <v>10</v>
      </c>
      <c r="I26">
        <f t="shared" si="1"/>
        <v>1.6666666666666667</v>
      </c>
      <c r="L26">
        <v>4</v>
      </c>
      <c r="M26">
        <f t="shared" si="2"/>
        <v>1.1904761904761905</v>
      </c>
      <c r="P26" s="1">
        <v>25</v>
      </c>
      <c r="Q26">
        <f t="shared" si="3"/>
        <v>1</v>
      </c>
    </row>
    <row r="27" spans="1:17" x14ac:dyDescent="0.3">
      <c r="A27">
        <v>26</v>
      </c>
      <c r="E27" s="5">
        <v>17</v>
      </c>
      <c r="F27">
        <f t="shared" si="0"/>
        <v>2.8888888888888888</v>
      </c>
      <c r="H27">
        <v>11</v>
      </c>
      <c r="I27">
        <f t="shared" si="1"/>
        <v>1.7333333333333334</v>
      </c>
      <c r="L27">
        <v>5</v>
      </c>
      <c r="M27">
        <f t="shared" si="2"/>
        <v>1.2380952380952381</v>
      </c>
      <c r="Q27">
        <f t="shared" si="3"/>
        <v>1.04</v>
      </c>
    </row>
    <row r="28" spans="1:17" x14ac:dyDescent="0.3">
      <c r="A28">
        <v>27</v>
      </c>
      <c r="E28" s="8" t="s">
        <v>34</v>
      </c>
      <c r="F28">
        <f t="shared" si="0"/>
        <v>3</v>
      </c>
      <c r="H28">
        <v>12</v>
      </c>
      <c r="I28">
        <f t="shared" si="1"/>
        <v>1.8</v>
      </c>
      <c r="L28">
        <v>6</v>
      </c>
      <c r="M28">
        <f t="shared" si="2"/>
        <v>1.2857142857142858</v>
      </c>
      <c r="Q28">
        <f t="shared" si="3"/>
        <v>1.08</v>
      </c>
    </row>
    <row r="29" spans="1:17" x14ac:dyDescent="0.3">
      <c r="A29">
        <v>28</v>
      </c>
      <c r="F29">
        <f t="shared" si="0"/>
        <v>3.1111111111111112</v>
      </c>
      <c r="H29">
        <v>13</v>
      </c>
      <c r="I29">
        <f t="shared" si="1"/>
        <v>1.8666666666666667</v>
      </c>
      <c r="L29">
        <v>7</v>
      </c>
      <c r="M29">
        <f t="shared" si="2"/>
        <v>1.3333333333333333</v>
      </c>
      <c r="Q29">
        <f t="shared" si="3"/>
        <v>1.1200000000000001</v>
      </c>
    </row>
    <row r="30" spans="1:17" x14ac:dyDescent="0.3">
      <c r="A30">
        <v>29</v>
      </c>
      <c r="F30">
        <f t="shared" si="0"/>
        <v>3.2222222222222223</v>
      </c>
      <c r="H30">
        <v>14</v>
      </c>
      <c r="I30">
        <f t="shared" si="1"/>
        <v>1.9333333333333333</v>
      </c>
      <c r="L30">
        <v>8</v>
      </c>
      <c r="M30">
        <f t="shared" si="2"/>
        <v>1.3809523809523809</v>
      </c>
      <c r="Q30">
        <f t="shared" si="3"/>
        <v>1.1599999999999999</v>
      </c>
    </row>
    <row r="31" spans="1:17" x14ac:dyDescent="0.3">
      <c r="A31">
        <v>30</v>
      </c>
      <c r="F31">
        <f t="shared" si="0"/>
        <v>3.3333333333333335</v>
      </c>
      <c r="H31">
        <v>15</v>
      </c>
      <c r="I31">
        <f t="shared" si="1"/>
        <v>2</v>
      </c>
      <c r="L31">
        <v>9</v>
      </c>
      <c r="M31">
        <f t="shared" si="2"/>
        <v>1.4285714285714286</v>
      </c>
      <c r="Q31">
        <f t="shared" si="3"/>
        <v>1.2</v>
      </c>
    </row>
    <row r="32" spans="1:17" x14ac:dyDescent="0.3">
      <c r="A32">
        <v>31</v>
      </c>
      <c r="F32">
        <f t="shared" si="0"/>
        <v>3.4444444444444446</v>
      </c>
      <c r="H32">
        <v>16</v>
      </c>
      <c r="I32">
        <f t="shared" si="1"/>
        <v>2.0666666666666669</v>
      </c>
      <c r="L32">
        <v>10</v>
      </c>
      <c r="M32">
        <f t="shared" si="2"/>
        <v>1.4761904761904763</v>
      </c>
      <c r="Q32">
        <f t="shared" si="3"/>
        <v>1.24</v>
      </c>
    </row>
    <row r="33" spans="1:17" x14ac:dyDescent="0.3">
      <c r="A33">
        <v>32</v>
      </c>
      <c r="F33">
        <f t="shared" si="0"/>
        <v>3.5555555555555554</v>
      </c>
      <c r="H33">
        <v>17</v>
      </c>
      <c r="I33">
        <f t="shared" si="1"/>
        <v>2.1333333333333333</v>
      </c>
      <c r="L33">
        <v>11</v>
      </c>
      <c r="M33">
        <f t="shared" si="2"/>
        <v>1.5238095238095237</v>
      </c>
      <c r="Q33">
        <f t="shared" si="3"/>
        <v>1.28</v>
      </c>
    </row>
    <row r="34" spans="1:17" x14ac:dyDescent="0.3">
      <c r="A34">
        <v>33</v>
      </c>
      <c r="F34">
        <f t="shared" si="0"/>
        <v>3.6666666666666665</v>
      </c>
      <c r="H34">
        <v>18</v>
      </c>
      <c r="I34">
        <f t="shared" si="1"/>
        <v>2.2000000000000002</v>
      </c>
      <c r="L34">
        <v>12</v>
      </c>
      <c r="M34">
        <f t="shared" si="2"/>
        <v>1.5714285714285714</v>
      </c>
      <c r="Q34">
        <f t="shared" si="3"/>
        <v>1.32</v>
      </c>
    </row>
    <row r="35" spans="1:17" x14ac:dyDescent="0.3">
      <c r="A35">
        <v>34</v>
      </c>
      <c r="F35">
        <f t="shared" si="0"/>
        <v>3.7777777777777777</v>
      </c>
      <c r="H35">
        <v>19</v>
      </c>
      <c r="I35">
        <f t="shared" si="1"/>
        <v>2.2666666666666666</v>
      </c>
      <c r="L35">
        <v>13</v>
      </c>
      <c r="M35">
        <f t="shared" si="2"/>
        <v>1.6190476190476191</v>
      </c>
      <c r="Q35">
        <f t="shared" si="3"/>
        <v>1.36</v>
      </c>
    </row>
    <row r="36" spans="1:17" x14ac:dyDescent="0.3">
      <c r="A36">
        <v>35</v>
      </c>
      <c r="F36">
        <f t="shared" si="0"/>
        <v>3.8888888888888888</v>
      </c>
      <c r="H36">
        <v>20</v>
      </c>
      <c r="I36">
        <f t="shared" si="1"/>
        <v>2.3333333333333335</v>
      </c>
      <c r="L36">
        <v>14</v>
      </c>
      <c r="M36">
        <f t="shared" si="2"/>
        <v>1.6666666666666667</v>
      </c>
      <c r="Q36">
        <f t="shared" si="3"/>
        <v>1.4</v>
      </c>
    </row>
    <row r="37" spans="1:17" x14ac:dyDescent="0.3">
      <c r="A37">
        <v>36</v>
      </c>
      <c r="F37">
        <f t="shared" si="0"/>
        <v>4</v>
      </c>
      <c r="H37">
        <v>21</v>
      </c>
      <c r="I37">
        <f t="shared" si="1"/>
        <v>2.4</v>
      </c>
      <c r="L37">
        <v>15</v>
      </c>
      <c r="M37">
        <f t="shared" si="2"/>
        <v>1.7142857142857142</v>
      </c>
      <c r="Q37">
        <f t="shared" si="3"/>
        <v>1.44</v>
      </c>
    </row>
    <row r="38" spans="1:17" x14ac:dyDescent="0.3">
      <c r="A38">
        <v>37</v>
      </c>
      <c r="F38">
        <f t="shared" si="0"/>
        <v>4.1111111111111107</v>
      </c>
      <c r="H38">
        <v>22</v>
      </c>
      <c r="I38">
        <f t="shared" si="1"/>
        <v>2.4666666666666668</v>
      </c>
      <c r="L38">
        <v>16</v>
      </c>
      <c r="M38">
        <f t="shared" si="2"/>
        <v>1.7619047619047619</v>
      </c>
      <c r="Q38">
        <f t="shared" si="3"/>
        <v>1.48</v>
      </c>
    </row>
    <row r="39" spans="1:17" x14ac:dyDescent="0.3">
      <c r="A39">
        <v>38</v>
      </c>
      <c r="F39">
        <f t="shared" si="0"/>
        <v>4.2222222222222223</v>
      </c>
      <c r="H39">
        <v>23</v>
      </c>
      <c r="I39">
        <f t="shared" si="1"/>
        <v>2.5333333333333332</v>
      </c>
      <c r="L39">
        <v>17</v>
      </c>
      <c r="M39">
        <f t="shared" si="2"/>
        <v>1.8095238095238095</v>
      </c>
      <c r="Q39">
        <f t="shared" si="3"/>
        <v>1.52</v>
      </c>
    </row>
    <row r="40" spans="1:17" x14ac:dyDescent="0.3">
      <c r="A40">
        <v>39</v>
      </c>
      <c r="F40">
        <f t="shared" si="0"/>
        <v>4.333333333333333</v>
      </c>
      <c r="H40">
        <v>24</v>
      </c>
      <c r="I40">
        <f t="shared" si="1"/>
        <v>2.6</v>
      </c>
      <c r="L40">
        <v>18</v>
      </c>
      <c r="M40">
        <f t="shared" si="2"/>
        <v>1.8571428571428572</v>
      </c>
      <c r="Q40">
        <f t="shared" si="3"/>
        <v>1.56</v>
      </c>
    </row>
    <row r="41" spans="1:17" x14ac:dyDescent="0.3">
      <c r="A41">
        <v>40</v>
      </c>
      <c r="F41">
        <f t="shared" si="0"/>
        <v>4.4444444444444446</v>
      </c>
      <c r="H41">
        <v>25</v>
      </c>
      <c r="I41">
        <f t="shared" si="1"/>
        <v>2.6666666666666665</v>
      </c>
      <c r="L41">
        <v>19</v>
      </c>
      <c r="M41">
        <f t="shared" si="2"/>
        <v>1.9047619047619047</v>
      </c>
      <c r="Q41">
        <f t="shared" si="3"/>
        <v>1.6</v>
      </c>
    </row>
    <row r="42" spans="1:17" x14ac:dyDescent="0.3">
      <c r="A42">
        <v>41</v>
      </c>
      <c r="F42">
        <f t="shared" si="0"/>
        <v>4.5555555555555554</v>
      </c>
      <c r="H42">
        <v>26</v>
      </c>
      <c r="I42">
        <f t="shared" si="1"/>
        <v>2.7333333333333334</v>
      </c>
      <c r="L42">
        <v>20</v>
      </c>
      <c r="M42">
        <f t="shared" si="2"/>
        <v>1.9523809523809523</v>
      </c>
      <c r="Q42">
        <f t="shared" si="3"/>
        <v>1.64</v>
      </c>
    </row>
    <row r="43" spans="1:17" x14ac:dyDescent="0.3">
      <c r="A43">
        <v>42</v>
      </c>
      <c r="F43">
        <f t="shared" si="0"/>
        <v>4.666666666666667</v>
      </c>
      <c r="H43">
        <v>27</v>
      </c>
      <c r="I43">
        <f t="shared" si="1"/>
        <v>2.8</v>
      </c>
      <c r="L43">
        <v>21</v>
      </c>
      <c r="M43">
        <f t="shared" si="2"/>
        <v>2</v>
      </c>
      <c r="Q43">
        <f t="shared" si="3"/>
        <v>1.68</v>
      </c>
    </row>
    <row r="44" spans="1:17" x14ac:dyDescent="0.3">
      <c r="A44">
        <v>43</v>
      </c>
      <c r="F44">
        <f t="shared" si="0"/>
        <v>4.7777777777777777</v>
      </c>
      <c r="H44">
        <v>28</v>
      </c>
      <c r="I44">
        <f t="shared" si="1"/>
        <v>2.8666666666666667</v>
      </c>
      <c r="L44">
        <v>22</v>
      </c>
      <c r="M44">
        <f t="shared" si="2"/>
        <v>2.0476190476190474</v>
      </c>
      <c r="Q44">
        <f t="shared" si="3"/>
        <v>1.72</v>
      </c>
    </row>
    <row r="45" spans="1:17" x14ac:dyDescent="0.3">
      <c r="A45">
        <v>44</v>
      </c>
      <c r="F45">
        <f t="shared" si="0"/>
        <v>4.8888888888888893</v>
      </c>
      <c r="H45">
        <v>29</v>
      </c>
      <c r="I45">
        <f t="shared" si="1"/>
        <v>2.9333333333333331</v>
      </c>
      <c r="L45">
        <v>23</v>
      </c>
      <c r="M45">
        <f t="shared" si="2"/>
        <v>2.0952380952380953</v>
      </c>
      <c r="Q45">
        <f t="shared" si="3"/>
        <v>1.76</v>
      </c>
    </row>
    <row r="46" spans="1:17" x14ac:dyDescent="0.3">
      <c r="A46">
        <v>45</v>
      </c>
      <c r="E46" s="8" t="s">
        <v>35</v>
      </c>
      <c r="F46">
        <f t="shared" si="0"/>
        <v>5</v>
      </c>
      <c r="H46" s="1" t="s">
        <v>51</v>
      </c>
      <c r="I46">
        <f t="shared" si="1"/>
        <v>3</v>
      </c>
      <c r="L46">
        <v>24</v>
      </c>
      <c r="M46">
        <f t="shared" si="2"/>
        <v>2.1428571428571428</v>
      </c>
      <c r="Q46">
        <f t="shared" si="3"/>
        <v>1.8</v>
      </c>
    </row>
    <row r="47" spans="1:17" x14ac:dyDescent="0.3">
      <c r="A47">
        <v>46</v>
      </c>
      <c r="F47">
        <f t="shared" si="0"/>
        <v>5.1111111111111107</v>
      </c>
      <c r="I47">
        <f t="shared" si="1"/>
        <v>3.0666666666666669</v>
      </c>
      <c r="L47">
        <v>25</v>
      </c>
      <c r="M47">
        <f t="shared" si="2"/>
        <v>2.1904761904761907</v>
      </c>
      <c r="Q47">
        <f t="shared" si="3"/>
        <v>1.84</v>
      </c>
    </row>
    <row r="48" spans="1:17" x14ac:dyDescent="0.3">
      <c r="A48">
        <v>47</v>
      </c>
      <c r="F48">
        <f t="shared" si="0"/>
        <v>5.2222222222222223</v>
      </c>
      <c r="I48">
        <f t="shared" si="1"/>
        <v>3.1333333333333333</v>
      </c>
      <c r="L48">
        <v>26</v>
      </c>
      <c r="M48">
        <f t="shared" si="2"/>
        <v>2.2380952380952381</v>
      </c>
      <c r="Q48">
        <f t="shared" si="3"/>
        <v>1.88</v>
      </c>
    </row>
    <row r="49" spans="1:17" x14ac:dyDescent="0.3">
      <c r="A49">
        <v>48</v>
      </c>
      <c r="F49">
        <f t="shared" si="0"/>
        <v>5.333333333333333</v>
      </c>
      <c r="I49">
        <f t="shared" si="1"/>
        <v>3.2</v>
      </c>
      <c r="L49">
        <v>27</v>
      </c>
      <c r="M49">
        <f t="shared" si="2"/>
        <v>2.2857142857142856</v>
      </c>
      <c r="Q49">
        <f t="shared" si="3"/>
        <v>1.92</v>
      </c>
    </row>
    <row r="50" spans="1:17" x14ac:dyDescent="0.3">
      <c r="A50">
        <v>49</v>
      </c>
      <c r="F50">
        <f t="shared" si="0"/>
        <v>5.4444444444444446</v>
      </c>
      <c r="I50">
        <f t="shared" si="1"/>
        <v>3.2666666666666666</v>
      </c>
      <c r="L50">
        <v>28</v>
      </c>
      <c r="M50">
        <f t="shared" si="2"/>
        <v>2.3333333333333335</v>
      </c>
      <c r="Q50">
        <f t="shared" si="3"/>
        <v>1.96</v>
      </c>
    </row>
    <row r="51" spans="1:17" x14ac:dyDescent="0.3">
      <c r="A51">
        <v>50</v>
      </c>
      <c r="F51">
        <f t="shared" si="0"/>
        <v>5.5555555555555554</v>
      </c>
      <c r="I51">
        <f t="shared" si="1"/>
        <v>3.3333333333333335</v>
      </c>
      <c r="L51">
        <v>29</v>
      </c>
      <c r="M51">
        <f t="shared" si="2"/>
        <v>2.3809523809523809</v>
      </c>
      <c r="Q51">
        <f t="shared" si="3"/>
        <v>2</v>
      </c>
    </row>
    <row r="52" spans="1:17" x14ac:dyDescent="0.3">
      <c r="A52">
        <v>51</v>
      </c>
      <c r="F52">
        <f t="shared" si="0"/>
        <v>5.666666666666667</v>
      </c>
      <c r="I52">
        <f t="shared" si="1"/>
        <v>3.4</v>
      </c>
      <c r="L52">
        <v>30</v>
      </c>
      <c r="M52">
        <f t="shared" si="2"/>
        <v>2.4285714285714284</v>
      </c>
      <c r="Q52">
        <f t="shared" si="3"/>
        <v>2.04</v>
      </c>
    </row>
    <row r="53" spans="1:17" x14ac:dyDescent="0.3">
      <c r="A53">
        <v>52</v>
      </c>
      <c r="F53">
        <f t="shared" si="0"/>
        <v>5.7777777777777777</v>
      </c>
      <c r="I53">
        <f t="shared" si="1"/>
        <v>3.4666666666666668</v>
      </c>
      <c r="L53">
        <v>31</v>
      </c>
      <c r="M53">
        <f t="shared" si="2"/>
        <v>2.4761904761904763</v>
      </c>
      <c r="Q53">
        <f t="shared" si="3"/>
        <v>2.08</v>
      </c>
    </row>
    <row r="54" spans="1:17" x14ac:dyDescent="0.3">
      <c r="A54">
        <v>53</v>
      </c>
      <c r="F54">
        <f t="shared" si="0"/>
        <v>5.8888888888888893</v>
      </c>
      <c r="I54">
        <f t="shared" si="1"/>
        <v>3.5333333333333332</v>
      </c>
      <c r="L54">
        <v>32</v>
      </c>
      <c r="M54">
        <f t="shared" si="2"/>
        <v>2.5238095238095237</v>
      </c>
      <c r="Q54">
        <f t="shared" si="3"/>
        <v>2.12</v>
      </c>
    </row>
    <row r="55" spans="1:17" x14ac:dyDescent="0.3">
      <c r="A55">
        <v>54</v>
      </c>
      <c r="F55">
        <f t="shared" si="0"/>
        <v>6</v>
      </c>
      <c r="I55">
        <f t="shared" si="1"/>
        <v>3.6</v>
      </c>
      <c r="L55">
        <v>33</v>
      </c>
      <c r="M55">
        <f t="shared" si="2"/>
        <v>2.5714285714285716</v>
      </c>
      <c r="Q55">
        <f t="shared" si="3"/>
        <v>2.16</v>
      </c>
    </row>
    <row r="56" spans="1:17" x14ac:dyDescent="0.3">
      <c r="A56">
        <v>55</v>
      </c>
      <c r="F56">
        <f t="shared" si="0"/>
        <v>6.1111111111111107</v>
      </c>
      <c r="I56">
        <f t="shared" si="1"/>
        <v>3.6666666666666665</v>
      </c>
      <c r="L56">
        <v>34</v>
      </c>
      <c r="M56">
        <f t="shared" si="2"/>
        <v>2.6190476190476191</v>
      </c>
      <c r="Q56">
        <f t="shared" si="3"/>
        <v>2.2000000000000002</v>
      </c>
    </row>
    <row r="57" spans="1:17" x14ac:dyDescent="0.3">
      <c r="A57">
        <v>56</v>
      </c>
      <c r="F57">
        <f t="shared" si="0"/>
        <v>6.2222222222222223</v>
      </c>
      <c r="I57">
        <f t="shared" si="1"/>
        <v>3.7333333333333334</v>
      </c>
      <c r="L57">
        <v>35</v>
      </c>
      <c r="M57">
        <f t="shared" si="2"/>
        <v>2.6666666666666665</v>
      </c>
      <c r="Q57">
        <f t="shared" si="3"/>
        <v>2.2400000000000002</v>
      </c>
    </row>
    <row r="58" spans="1:17" x14ac:dyDescent="0.3">
      <c r="A58">
        <v>57</v>
      </c>
      <c r="F58">
        <f t="shared" si="0"/>
        <v>6.333333333333333</v>
      </c>
      <c r="I58">
        <f t="shared" si="1"/>
        <v>3.8</v>
      </c>
      <c r="L58">
        <v>36</v>
      </c>
      <c r="M58">
        <f t="shared" si="2"/>
        <v>2.7142857142857144</v>
      </c>
      <c r="Q58">
        <f t="shared" si="3"/>
        <v>2.2799999999999998</v>
      </c>
    </row>
    <row r="59" spans="1:17" x14ac:dyDescent="0.3">
      <c r="A59">
        <v>58</v>
      </c>
      <c r="F59">
        <f t="shared" si="0"/>
        <v>6.4444444444444446</v>
      </c>
      <c r="I59">
        <f t="shared" si="1"/>
        <v>3.8666666666666667</v>
      </c>
      <c r="L59">
        <v>37</v>
      </c>
      <c r="M59">
        <f t="shared" si="2"/>
        <v>2.7619047619047619</v>
      </c>
      <c r="Q59">
        <f t="shared" si="3"/>
        <v>2.3199999999999998</v>
      </c>
    </row>
    <row r="60" spans="1:17" x14ac:dyDescent="0.3">
      <c r="A60">
        <v>59</v>
      </c>
      <c r="F60">
        <f t="shared" si="0"/>
        <v>6.5555555555555554</v>
      </c>
      <c r="I60">
        <f t="shared" si="1"/>
        <v>3.9333333333333331</v>
      </c>
      <c r="L60">
        <v>38</v>
      </c>
      <c r="M60">
        <f t="shared" si="2"/>
        <v>2.8095238095238093</v>
      </c>
      <c r="Q60">
        <f t="shared" si="3"/>
        <v>2.36</v>
      </c>
    </row>
    <row r="61" spans="1:17" x14ac:dyDescent="0.3">
      <c r="A61">
        <v>60</v>
      </c>
      <c r="F61">
        <f t="shared" si="0"/>
        <v>6.666666666666667</v>
      </c>
      <c r="I61">
        <f t="shared" si="1"/>
        <v>4</v>
      </c>
      <c r="L61">
        <v>39</v>
      </c>
      <c r="M61">
        <f t="shared" si="2"/>
        <v>2.8571428571428572</v>
      </c>
      <c r="Q61">
        <f t="shared" si="3"/>
        <v>2.4</v>
      </c>
    </row>
    <row r="62" spans="1:17" x14ac:dyDescent="0.3">
      <c r="A62">
        <v>61</v>
      </c>
      <c r="F62">
        <f t="shared" si="0"/>
        <v>6.7777777777777777</v>
      </c>
      <c r="I62">
        <f t="shared" si="1"/>
        <v>4.0666666666666664</v>
      </c>
      <c r="L62">
        <v>40</v>
      </c>
      <c r="M62">
        <f t="shared" si="2"/>
        <v>2.9047619047619047</v>
      </c>
      <c r="Q62">
        <f t="shared" si="3"/>
        <v>2.44</v>
      </c>
    </row>
    <row r="63" spans="1:17" x14ac:dyDescent="0.3">
      <c r="A63">
        <v>62</v>
      </c>
      <c r="F63">
        <f t="shared" si="0"/>
        <v>6.8888888888888893</v>
      </c>
      <c r="I63">
        <f t="shared" si="1"/>
        <v>4.1333333333333337</v>
      </c>
      <c r="L63">
        <v>41</v>
      </c>
      <c r="M63">
        <f t="shared" si="2"/>
        <v>2.9523809523809526</v>
      </c>
      <c r="Q63">
        <f t="shared" si="3"/>
        <v>2.48</v>
      </c>
    </row>
    <row r="64" spans="1:17" x14ac:dyDescent="0.3">
      <c r="A64">
        <v>63</v>
      </c>
      <c r="E64" s="8" t="s">
        <v>36</v>
      </c>
      <c r="F64">
        <f t="shared" si="0"/>
        <v>7</v>
      </c>
      <c r="I64">
        <f t="shared" si="1"/>
        <v>4.2</v>
      </c>
      <c r="L64" s="1" t="s">
        <v>52</v>
      </c>
      <c r="M64">
        <f t="shared" si="2"/>
        <v>3</v>
      </c>
      <c r="Q64">
        <f t="shared" si="3"/>
        <v>2.52</v>
      </c>
    </row>
    <row r="65" spans="1:17" x14ac:dyDescent="0.3">
      <c r="A65">
        <v>64</v>
      </c>
      <c r="F65">
        <f t="shared" si="0"/>
        <v>7.1111111111111107</v>
      </c>
      <c r="I65">
        <f t="shared" si="1"/>
        <v>4.2666666666666666</v>
      </c>
      <c r="M65">
        <f t="shared" si="2"/>
        <v>3.0476190476190474</v>
      </c>
      <c r="Q65">
        <f t="shared" si="3"/>
        <v>2.56</v>
      </c>
    </row>
    <row r="66" spans="1:17" x14ac:dyDescent="0.3">
      <c r="A66">
        <v>65</v>
      </c>
      <c r="F66">
        <f t="shared" si="0"/>
        <v>7.2222222222222223</v>
      </c>
      <c r="I66">
        <f t="shared" si="1"/>
        <v>4.333333333333333</v>
      </c>
      <c r="M66">
        <f t="shared" si="2"/>
        <v>3.0952380952380953</v>
      </c>
      <c r="Q66">
        <f t="shared" si="3"/>
        <v>2.6</v>
      </c>
    </row>
    <row r="67" spans="1:17" x14ac:dyDescent="0.3">
      <c r="A67">
        <v>66</v>
      </c>
      <c r="F67">
        <f t="shared" ref="F67:F96" si="4">A67/9</f>
        <v>7.333333333333333</v>
      </c>
      <c r="I67">
        <f t="shared" ref="I67:I96" si="5">A67/15</f>
        <v>4.4000000000000004</v>
      </c>
      <c r="M67">
        <f t="shared" ref="M67:M96" si="6">A67/21</f>
        <v>3.1428571428571428</v>
      </c>
      <c r="Q67">
        <f t="shared" ref="Q67:Q96" si="7">A67/25</f>
        <v>2.64</v>
      </c>
    </row>
    <row r="68" spans="1:17" x14ac:dyDescent="0.3">
      <c r="A68">
        <v>67</v>
      </c>
      <c r="F68">
        <f t="shared" si="4"/>
        <v>7.4444444444444446</v>
      </c>
      <c r="I68">
        <f t="shared" si="5"/>
        <v>4.4666666666666668</v>
      </c>
      <c r="M68">
        <f t="shared" si="6"/>
        <v>3.1904761904761907</v>
      </c>
      <c r="Q68">
        <f t="shared" si="7"/>
        <v>2.68</v>
      </c>
    </row>
    <row r="69" spans="1:17" x14ac:dyDescent="0.3">
      <c r="A69">
        <v>68</v>
      </c>
      <c r="F69">
        <f t="shared" si="4"/>
        <v>7.5555555555555554</v>
      </c>
      <c r="I69">
        <f t="shared" si="5"/>
        <v>4.5333333333333332</v>
      </c>
      <c r="M69">
        <f t="shared" si="6"/>
        <v>3.2380952380952381</v>
      </c>
      <c r="Q69">
        <f t="shared" si="7"/>
        <v>2.72</v>
      </c>
    </row>
    <row r="70" spans="1:17" x14ac:dyDescent="0.3">
      <c r="A70">
        <v>69</v>
      </c>
      <c r="F70">
        <f t="shared" si="4"/>
        <v>7.666666666666667</v>
      </c>
      <c r="I70">
        <f t="shared" si="5"/>
        <v>4.5999999999999996</v>
      </c>
      <c r="M70">
        <f t="shared" si="6"/>
        <v>3.2857142857142856</v>
      </c>
      <c r="Q70">
        <f t="shared" si="7"/>
        <v>2.76</v>
      </c>
    </row>
    <row r="71" spans="1:17" x14ac:dyDescent="0.3">
      <c r="A71">
        <v>70</v>
      </c>
      <c r="F71">
        <f t="shared" si="4"/>
        <v>7.7777777777777777</v>
      </c>
      <c r="I71">
        <f t="shared" si="5"/>
        <v>4.666666666666667</v>
      </c>
      <c r="M71">
        <f t="shared" si="6"/>
        <v>3.3333333333333335</v>
      </c>
      <c r="Q71">
        <f t="shared" si="7"/>
        <v>2.8</v>
      </c>
    </row>
    <row r="72" spans="1:17" x14ac:dyDescent="0.3">
      <c r="A72">
        <v>71</v>
      </c>
      <c r="F72">
        <f t="shared" si="4"/>
        <v>7.8888888888888893</v>
      </c>
      <c r="I72">
        <f t="shared" si="5"/>
        <v>4.7333333333333334</v>
      </c>
      <c r="M72">
        <f t="shared" si="6"/>
        <v>3.3809523809523809</v>
      </c>
      <c r="Q72">
        <f t="shared" si="7"/>
        <v>2.84</v>
      </c>
    </row>
    <row r="73" spans="1:17" x14ac:dyDescent="0.3">
      <c r="A73">
        <v>72</v>
      </c>
      <c r="F73">
        <f t="shared" si="4"/>
        <v>8</v>
      </c>
      <c r="I73">
        <f t="shared" si="5"/>
        <v>4.8</v>
      </c>
      <c r="M73">
        <f t="shared" si="6"/>
        <v>3.4285714285714284</v>
      </c>
      <c r="Q73">
        <f t="shared" si="7"/>
        <v>2.88</v>
      </c>
    </row>
    <row r="74" spans="1:17" x14ac:dyDescent="0.3">
      <c r="A74">
        <v>73</v>
      </c>
      <c r="F74">
        <f t="shared" si="4"/>
        <v>8.1111111111111107</v>
      </c>
      <c r="I74">
        <f t="shared" si="5"/>
        <v>4.8666666666666663</v>
      </c>
      <c r="M74">
        <f t="shared" si="6"/>
        <v>3.4761904761904763</v>
      </c>
      <c r="Q74">
        <f t="shared" si="7"/>
        <v>2.92</v>
      </c>
    </row>
    <row r="75" spans="1:17" x14ac:dyDescent="0.3">
      <c r="A75">
        <v>74</v>
      </c>
      <c r="F75">
        <f t="shared" si="4"/>
        <v>8.2222222222222214</v>
      </c>
      <c r="I75">
        <f t="shared" si="5"/>
        <v>4.9333333333333336</v>
      </c>
      <c r="M75">
        <f t="shared" si="6"/>
        <v>3.5238095238095237</v>
      </c>
      <c r="Q75">
        <f t="shared" si="7"/>
        <v>2.96</v>
      </c>
    </row>
    <row r="76" spans="1:17" x14ac:dyDescent="0.3">
      <c r="A76">
        <v>75</v>
      </c>
      <c r="F76">
        <f t="shared" si="4"/>
        <v>8.3333333333333339</v>
      </c>
      <c r="I76">
        <f t="shared" si="5"/>
        <v>5</v>
      </c>
      <c r="M76">
        <f t="shared" si="6"/>
        <v>3.5714285714285716</v>
      </c>
      <c r="P76" s="1" t="s">
        <v>53</v>
      </c>
      <c r="Q76">
        <f t="shared" si="7"/>
        <v>3</v>
      </c>
    </row>
    <row r="77" spans="1:17" x14ac:dyDescent="0.3">
      <c r="A77">
        <v>76</v>
      </c>
      <c r="F77">
        <f t="shared" si="4"/>
        <v>8.4444444444444446</v>
      </c>
      <c r="I77">
        <f t="shared" si="5"/>
        <v>5.0666666666666664</v>
      </c>
      <c r="M77">
        <f t="shared" si="6"/>
        <v>3.6190476190476191</v>
      </c>
      <c r="Q77">
        <f t="shared" si="7"/>
        <v>3.04</v>
      </c>
    </row>
    <row r="78" spans="1:17" x14ac:dyDescent="0.3">
      <c r="A78">
        <v>77</v>
      </c>
      <c r="F78">
        <f t="shared" si="4"/>
        <v>8.5555555555555554</v>
      </c>
      <c r="I78">
        <f t="shared" si="5"/>
        <v>5.1333333333333337</v>
      </c>
      <c r="M78">
        <f t="shared" si="6"/>
        <v>3.6666666666666665</v>
      </c>
      <c r="Q78">
        <f t="shared" si="7"/>
        <v>3.08</v>
      </c>
    </row>
    <row r="79" spans="1:17" x14ac:dyDescent="0.3">
      <c r="A79">
        <v>78</v>
      </c>
      <c r="F79">
        <f t="shared" si="4"/>
        <v>8.6666666666666661</v>
      </c>
      <c r="I79">
        <f t="shared" si="5"/>
        <v>5.2</v>
      </c>
      <c r="M79">
        <f t="shared" si="6"/>
        <v>3.7142857142857144</v>
      </c>
      <c r="Q79">
        <f t="shared" si="7"/>
        <v>3.12</v>
      </c>
    </row>
    <row r="80" spans="1:17" x14ac:dyDescent="0.3">
      <c r="A80">
        <v>79</v>
      </c>
      <c r="F80">
        <f t="shared" si="4"/>
        <v>8.7777777777777786</v>
      </c>
      <c r="I80">
        <f t="shared" si="5"/>
        <v>5.2666666666666666</v>
      </c>
      <c r="M80">
        <f t="shared" si="6"/>
        <v>3.7619047619047619</v>
      </c>
      <c r="Q80">
        <f t="shared" si="7"/>
        <v>3.16</v>
      </c>
    </row>
    <row r="81" spans="1:17" x14ac:dyDescent="0.3">
      <c r="A81">
        <v>80</v>
      </c>
      <c r="F81">
        <f t="shared" si="4"/>
        <v>8.8888888888888893</v>
      </c>
      <c r="I81">
        <f t="shared" si="5"/>
        <v>5.333333333333333</v>
      </c>
      <c r="M81">
        <f t="shared" si="6"/>
        <v>3.8095238095238093</v>
      </c>
      <c r="Q81">
        <f t="shared" si="7"/>
        <v>3.2</v>
      </c>
    </row>
    <row r="82" spans="1:17" x14ac:dyDescent="0.3">
      <c r="A82">
        <v>81</v>
      </c>
      <c r="E82" s="8" t="s">
        <v>24</v>
      </c>
      <c r="F82">
        <f t="shared" si="4"/>
        <v>9</v>
      </c>
      <c r="I82">
        <f t="shared" si="5"/>
        <v>5.4</v>
      </c>
      <c r="M82">
        <f t="shared" si="6"/>
        <v>3.8571428571428572</v>
      </c>
      <c r="Q82">
        <f t="shared" si="7"/>
        <v>3.24</v>
      </c>
    </row>
    <row r="83" spans="1:17" x14ac:dyDescent="0.3">
      <c r="A83">
        <v>82</v>
      </c>
      <c r="F83">
        <f t="shared" si="4"/>
        <v>9.1111111111111107</v>
      </c>
      <c r="I83">
        <f t="shared" si="5"/>
        <v>5.4666666666666668</v>
      </c>
      <c r="M83">
        <f t="shared" si="6"/>
        <v>3.9047619047619047</v>
      </c>
      <c r="Q83">
        <f t="shared" si="7"/>
        <v>3.28</v>
      </c>
    </row>
    <row r="84" spans="1:17" x14ac:dyDescent="0.3">
      <c r="A84">
        <v>83</v>
      </c>
      <c r="F84">
        <f t="shared" si="4"/>
        <v>9.2222222222222214</v>
      </c>
      <c r="I84">
        <f t="shared" si="5"/>
        <v>5.5333333333333332</v>
      </c>
      <c r="M84">
        <f t="shared" si="6"/>
        <v>3.9523809523809526</v>
      </c>
      <c r="Q84">
        <f t="shared" si="7"/>
        <v>3.32</v>
      </c>
    </row>
    <row r="85" spans="1:17" x14ac:dyDescent="0.3">
      <c r="A85">
        <v>84</v>
      </c>
      <c r="F85">
        <f t="shared" si="4"/>
        <v>9.3333333333333339</v>
      </c>
      <c r="I85">
        <f t="shared" si="5"/>
        <v>5.6</v>
      </c>
      <c r="M85">
        <f t="shared" si="6"/>
        <v>4</v>
      </c>
      <c r="Q85">
        <f t="shared" si="7"/>
        <v>3.36</v>
      </c>
    </row>
    <row r="86" spans="1:17" x14ac:dyDescent="0.3">
      <c r="A86">
        <v>85</v>
      </c>
      <c r="F86">
        <f t="shared" si="4"/>
        <v>9.4444444444444446</v>
      </c>
      <c r="I86">
        <f t="shared" si="5"/>
        <v>5.666666666666667</v>
      </c>
      <c r="M86">
        <f t="shared" si="6"/>
        <v>4.0476190476190474</v>
      </c>
      <c r="Q86">
        <f t="shared" si="7"/>
        <v>3.4</v>
      </c>
    </row>
    <row r="87" spans="1:17" x14ac:dyDescent="0.3">
      <c r="A87">
        <v>86</v>
      </c>
      <c r="F87">
        <f t="shared" si="4"/>
        <v>9.5555555555555554</v>
      </c>
      <c r="I87">
        <f t="shared" si="5"/>
        <v>5.7333333333333334</v>
      </c>
      <c r="M87">
        <f t="shared" si="6"/>
        <v>4.0952380952380949</v>
      </c>
      <c r="Q87">
        <f t="shared" si="7"/>
        <v>3.44</v>
      </c>
    </row>
    <row r="88" spans="1:17" x14ac:dyDescent="0.3">
      <c r="A88">
        <v>87</v>
      </c>
      <c r="F88">
        <f t="shared" si="4"/>
        <v>9.6666666666666661</v>
      </c>
      <c r="I88">
        <f t="shared" si="5"/>
        <v>5.8</v>
      </c>
      <c r="M88">
        <f t="shared" si="6"/>
        <v>4.1428571428571432</v>
      </c>
      <c r="Q88">
        <f t="shared" si="7"/>
        <v>3.48</v>
      </c>
    </row>
    <row r="89" spans="1:17" x14ac:dyDescent="0.3">
      <c r="A89">
        <v>88</v>
      </c>
      <c r="F89">
        <f t="shared" si="4"/>
        <v>9.7777777777777786</v>
      </c>
      <c r="I89">
        <f t="shared" si="5"/>
        <v>5.8666666666666663</v>
      </c>
      <c r="M89">
        <f t="shared" si="6"/>
        <v>4.1904761904761907</v>
      </c>
      <c r="Q89">
        <f t="shared" si="7"/>
        <v>3.52</v>
      </c>
    </row>
    <row r="90" spans="1:17" x14ac:dyDescent="0.3">
      <c r="A90">
        <v>89</v>
      </c>
      <c r="F90">
        <f t="shared" si="4"/>
        <v>9.8888888888888893</v>
      </c>
      <c r="I90">
        <f t="shared" si="5"/>
        <v>5.9333333333333336</v>
      </c>
      <c r="M90">
        <f t="shared" si="6"/>
        <v>4.2380952380952381</v>
      </c>
      <c r="Q90">
        <f t="shared" si="7"/>
        <v>3.56</v>
      </c>
    </row>
    <row r="91" spans="1:17" x14ac:dyDescent="0.3">
      <c r="A91">
        <v>90</v>
      </c>
      <c r="F91">
        <f t="shared" si="4"/>
        <v>10</v>
      </c>
      <c r="I91">
        <f t="shared" si="5"/>
        <v>6</v>
      </c>
      <c r="M91">
        <f t="shared" si="6"/>
        <v>4.2857142857142856</v>
      </c>
      <c r="Q91">
        <f t="shared" si="7"/>
        <v>3.6</v>
      </c>
    </row>
    <row r="92" spans="1:17" x14ac:dyDescent="0.3">
      <c r="A92">
        <v>91</v>
      </c>
      <c r="F92">
        <f t="shared" si="4"/>
        <v>10.111111111111111</v>
      </c>
      <c r="I92">
        <f t="shared" si="5"/>
        <v>6.0666666666666664</v>
      </c>
      <c r="M92">
        <f t="shared" si="6"/>
        <v>4.333333333333333</v>
      </c>
      <c r="Q92">
        <f t="shared" si="7"/>
        <v>3.64</v>
      </c>
    </row>
    <row r="93" spans="1:17" x14ac:dyDescent="0.3">
      <c r="A93">
        <v>92</v>
      </c>
      <c r="F93">
        <f t="shared" si="4"/>
        <v>10.222222222222221</v>
      </c>
      <c r="I93">
        <f t="shared" si="5"/>
        <v>6.1333333333333337</v>
      </c>
      <c r="M93">
        <f t="shared" si="6"/>
        <v>4.3809523809523814</v>
      </c>
      <c r="Q93">
        <f t="shared" si="7"/>
        <v>3.68</v>
      </c>
    </row>
    <row r="94" spans="1:17" x14ac:dyDescent="0.3">
      <c r="A94">
        <v>93</v>
      </c>
      <c r="F94">
        <f t="shared" si="4"/>
        <v>10.333333333333334</v>
      </c>
      <c r="I94">
        <f t="shared" si="5"/>
        <v>6.2</v>
      </c>
      <c r="M94">
        <f t="shared" si="6"/>
        <v>4.4285714285714288</v>
      </c>
      <c r="Q94">
        <f t="shared" si="7"/>
        <v>3.72</v>
      </c>
    </row>
    <row r="95" spans="1:17" x14ac:dyDescent="0.3">
      <c r="A95">
        <v>94</v>
      </c>
      <c r="F95">
        <f t="shared" si="4"/>
        <v>10.444444444444445</v>
      </c>
      <c r="I95">
        <f t="shared" si="5"/>
        <v>6.2666666666666666</v>
      </c>
      <c r="M95">
        <f t="shared" si="6"/>
        <v>4.4761904761904763</v>
      </c>
      <c r="Q95">
        <f t="shared" si="7"/>
        <v>3.76</v>
      </c>
    </row>
    <row r="96" spans="1:17" x14ac:dyDescent="0.3">
      <c r="A96">
        <v>95</v>
      </c>
      <c r="F96">
        <f t="shared" si="4"/>
        <v>10.555555555555555</v>
      </c>
      <c r="I96">
        <f t="shared" si="5"/>
        <v>6.333333333333333</v>
      </c>
      <c r="M96">
        <f t="shared" si="6"/>
        <v>4.5238095238095237</v>
      </c>
      <c r="Q96">
        <f t="shared" si="7"/>
        <v>3.8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C554-AB5F-41D6-A5F6-4DC9C261CD86}">
  <dimension ref="A1:V96"/>
  <sheetViews>
    <sheetView tabSelected="1" zoomScale="70" zoomScaleNormal="70" workbookViewId="0">
      <selection activeCell="E22" sqref="E22"/>
    </sheetView>
  </sheetViews>
  <sheetFormatPr defaultRowHeight="14.4" x14ac:dyDescent="0.3"/>
  <sheetData>
    <row r="1" spans="1:22" x14ac:dyDescent="0.3">
      <c r="A1" s="9" t="s">
        <v>37</v>
      </c>
      <c r="D1" s="9" t="s">
        <v>38</v>
      </c>
      <c r="F1" s="9" t="s">
        <v>40</v>
      </c>
      <c r="I1" s="9" t="s">
        <v>39</v>
      </c>
      <c r="L1" s="9" t="s">
        <v>41</v>
      </c>
      <c r="O1" s="9" t="s">
        <v>42</v>
      </c>
      <c r="S1" s="9" t="s">
        <v>47</v>
      </c>
      <c r="V1" s="9" t="s">
        <v>49</v>
      </c>
    </row>
    <row r="2" spans="1:22" x14ac:dyDescent="0.3">
      <c r="A2">
        <v>1</v>
      </c>
      <c r="D2">
        <f t="shared" ref="D2:D65" si="0">A2/3</f>
        <v>0.33333333333333331</v>
      </c>
      <c r="F2">
        <f>A2/5</f>
        <v>0.2</v>
      </c>
      <c r="I2">
        <f>A2/7</f>
        <v>0.14285714285714285</v>
      </c>
      <c r="L2">
        <f>A2/11</f>
        <v>9.0909090909090912E-2</v>
      </c>
      <c r="O2">
        <f>A2/13</f>
        <v>7.6923076923076927E-2</v>
      </c>
      <c r="S2">
        <f>A2/17</f>
        <v>5.8823529411764705E-2</v>
      </c>
      <c r="V2">
        <f>A2/19</f>
        <v>5.2631578947368418E-2</v>
      </c>
    </row>
    <row r="3" spans="1:22" x14ac:dyDescent="0.3">
      <c r="A3">
        <v>2</v>
      </c>
      <c r="D3">
        <f t="shared" si="0"/>
        <v>0.66666666666666663</v>
      </c>
      <c r="F3">
        <f t="shared" ref="F3:F66" si="1">A3/5</f>
        <v>0.4</v>
      </c>
      <c r="I3">
        <f t="shared" ref="I3:I66" si="2">A3/7</f>
        <v>0.2857142857142857</v>
      </c>
      <c r="L3">
        <f t="shared" ref="L3:L66" si="3">A3/11</f>
        <v>0.18181818181818182</v>
      </c>
      <c r="O3">
        <f t="shared" ref="O3:O66" si="4">A3/13</f>
        <v>0.15384615384615385</v>
      </c>
      <c r="S3">
        <f t="shared" ref="S3:S66" si="5">A3/17</f>
        <v>0.11764705882352941</v>
      </c>
      <c r="V3">
        <f t="shared" ref="V3:V66" si="6">A3/19</f>
        <v>0.10526315789473684</v>
      </c>
    </row>
    <row r="4" spans="1:22" x14ac:dyDescent="0.3">
      <c r="A4">
        <v>3</v>
      </c>
      <c r="C4" s="1">
        <v>3</v>
      </c>
      <c r="D4">
        <f t="shared" si="0"/>
        <v>1</v>
      </c>
      <c r="F4">
        <f t="shared" si="1"/>
        <v>0.6</v>
      </c>
      <c r="I4">
        <f t="shared" si="2"/>
        <v>0.42857142857142855</v>
      </c>
      <c r="L4">
        <f t="shared" si="3"/>
        <v>0.27272727272727271</v>
      </c>
      <c r="O4">
        <f t="shared" si="4"/>
        <v>0.23076923076923078</v>
      </c>
      <c r="S4">
        <f t="shared" si="5"/>
        <v>0.17647058823529413</v>
      </c>
      <c r="V4">
        <f t="shared" si="6"/>
        <v>0.15789473684210525</v>
      </c>
    </row>
    <row r="5" spans="1:22" x14ac:dyDescent="0.3">
      <c r="A5">
        <v>4</v>
      </c>
      <c r="C5" s="6">
        <v>1</v>
      </c>
      <c r="D5">
        <f t="shared" si="0"/>
        <v>1.3333333333333333</v>
      </c>
      <c r="F5">
        <f t="shared" si="1"/>
        <v>0.8</v>
      </c>
      <c r="I5">
        <f t="shared" si="2"/>
        <v>0.5714285714285714</v>
      </c>
      <c r="L5">
        <f t="shared" si="3"/>
        <v>0.36363636363636365</v>
      </c>
      <c r="O5">
        <f t="shared" si="4"/>
        <v>0.30769230769230771</v>
      </c>
      <c r="S5">
        <f t="shared" si="5"/>
        <v>0.23529411764705882</v>
      </c>
      <c r="V5">
        <f t="shared" si="6"/>
        <v>0.21052631578947367</v>
      </c>
    </row>
    <row r="6" spans="1:22" x14ac:dyDescent="0.3">
      <c r="A6">
        <v>5</v>
      </c>
      <c r="C6" s="6">
        <v>2</v>
      </c>
      <c r="D6">
        <f t="shared" si="0"/>
        <v>1.6666666666666667</v>
      </c>
      <c r="E6" s="2">
        <v>5</v>
      </c>
      <c r="F6">
        <f t="shared" si="1"/>
        <v>1</v>
      </c>
      <c r="I6">
        <f t="shared" si="2"/>
        <v>0.7142857142857143</v>
      </c>
      <c r="L6">
        <f t="shared" si="3"/>
        <v>0.45454545454545453</v>
      </c>
      <c r="O6">
        <f t="shared" si="4"/>
        <v>0.38461538461538464</v>
      </c>
      <c r="S6">
        <f t="shared" si="5"/>
        <v>0.29411764705882354</v>
      </c>
      <c r="V6">
        <f t="shared" si="6"/>
        <v>0.26315789473684209</v>
      </c>
    </row>
    <row r="7" spans="1:22" x14ac:dyDescent="0.3">
      <c r="A7">
        <v>6</v>
      </c>
      <c r="C7" s="6">
        <v>3</v>
      </c>
      <c r="D7">
        <f t="shared" si="0"/>
        <v>2</v>
      </c>
      <c r="E7" s="6">
        <v>1</v>
      </c>
      <c r="F7">
        <f t="shared" si="1"/>
        <v>1.2</v>
      </c>
      <c r="I7">
        <f t="shared" si="2"/>
        <v>0.8571428571428571</v>
      </c>
      <c r="L7">
        <f t="shared" si="3"/>
        <v>0.54545454545454541</v>
      </c>
      <c r="O7">
        <f t="shared" si="4"/>
        <v>0.46153846153846156</v>
      </c>
      <c r="S7">
        <f t="shared" si="5"/>
        <v>0.35294117647058826</v>
      </c>
      <c r="V7">
        <f t="shared" si="6"/>
        <v>0.31578947368421051</v>
      </c>
    </row>
    <row r="8" spans="1:22" x14ac:dyDescent="0.3">
      <c r="A8">
        <v>7</v>
      </c>
      <c r="C8" s="6">
        <v>4</v>
      </c>
      <c r="D8">
        <f t="shared" si="0"/>
        <v>2.3333333333333335</v>
      </c>
      <c r="E8" s="6">
        <v>2</v>
      </c>
      <c r="F8">
        <f t="shared" si="1"/>
        <v>1.4</v>
      </c>
      <c r="H8" s="3">
        <v>7</v>
      </c>
      <c r="I8">
        <f t="shared" si="2"/>
        <v>1</v>
      </c>
      <c r="L8">
        <f t="shared" si="3"/>
        <v>0.63636363636363635</v>
      </c>
      <c r="O8">
        <f t="shared" si="4"/>
        <v>0.53846153846153844</v>
      </c>
      <c r="S8">
        <f t="shared" si="5"/>
        <v>0.41176470588235292</v>
      </c>
      <c r="V8">
        <f t="shared" si="6"/>
        <v>0.36842105263157893</v>
      </c>
    </row>
    <row r="9" spans="1:22" x14ac:dyDescent="0.3">
      <c r="A9">
        <v>8</v>
      </c>
      <c r="C9" s="6">
        <v>5</v>
      </c>
      <c r="D9">
        <f t="shared" si="0"/>
        <v>2.6666666666666665</v>
      </c>
      <c r="E9" s="6">
        <v>3</v>
      </c>
      <c r="F9">
        <f t="shared" si="1"/>
        <v>1.6</v>
      </c>
      <c r="H9" s="6">
        <v>1</v>
      </c>
      <c r="I9">
        <f t="shared" si="2"/>
        <v>1.1428571428571428</v>
      </c>
      <c r="L9">
        <f t="shared" si="3"/>
        <v>0.72727272727272729</v>
      </c>
      <c r="O9">
        <f t="shared" si="4"/>
        <v>0.61538461538461542</v>
      </c>
      <c r="S9">
        <f t="shared" si="5"/>
        <v>0.47058823529411764</v>
      </c>
      <c r="V9">
        <f t="shared" si="6"/>
        <v>0.42105263157894735</v>
      </c>
    </row>
    <row r="10" spans="1:22" x14ac:dyDescent="0.3">
      <c r="A10">
        <v>9</v>
      </c>
      <c r="C10" s="1" t="s">
        <v>0</v>
      </c>
      <c r="D10">
        <f t="shared" si="0"/>
        <v>3</v>
      </c>
      <c r="E10" s="6">
        <v>4</v>
      </c>
      <c r="F10">
        <f t="shared" si="1"/>
        <v>1.8</v>
      </c>
      <c r="H10" s="6">
        <v>2</v>
      </c>
      <c r="I10">
        <f t="shared" si="2"/>
        <v>1.2857142857142858</v>
      </c>
      <c r="L10">
        <f t="shared" si="3"/>
        <v>0.81818181818181823</v>
      </c>
      <c r="O10">
        <f t="shared" si="4"/>
        <v>0.69230769230769229</v>
      </c>
      <c r="S10">
        <f t="shared" si="5"/>
        <v>0.52941176470588236</v>
      </c>
      <c r="V10">
        <f t="shared" si="6"/>
        <v>0.47368421052631576</v>
      </c>
    </row>
    <row r="11" spans="1:22" x14ac:dyDescent="0.3">
      <c r="A11">
        <v>10</v>
      </c>
      <c r="D11">
        <f t="shared" si="0"/>
        <v>3.3333333333333335</v>
      </c>
      <c r="E11" s="6">
        <v>5</v>
      </c>
      <c r="F11">
        <f t="shared" si="1"/>
        <v>2</v>
      </c>
      <c r="H11" s="6">
        <v>3</v>
      </c>
      <c r="I11">
        <f t="shared" si="2"/>
        <v>1.4285714285714286</v>
      </c>
      <c r="L11">
        <f t="shared" si="3"/>
        <v>0.90909090909090906</v>
      </c>
      <c r="O11">
        <f t="shared" si="4"/>
        <v>0.76923076923076927</v>
      </c>
      <c r="S11">
        <f t="shared" si="5"/>
        <v>0.58823529411764708</v>
      </c>
      <c r="V11">
        <f t="shared" si="6"/>
        <v>0.52631578947368418</v>
      </c>
    </row>
    <row r="12" spans="1:22" x14ac:dyDescent="0.3">
      <c r="A12">
        <v>11</v>
      </c>
      <c r="D12">
        <f t="shared" si="0"/>
        <v>3.6666666666666665</v>
      </c>
      <c r="E12" s="6">
        <v>6</v>
      </c>
      <c r="F12">
        <f t="shared" si="1"/>
        <v>2.2000000000000002</v>
      </c>
      <c r="H12" s="6">
        <v>4</v>
      </c>
      <c r="I12">
        <f t="shared" si="2"/>
        <v>1.5714285714285714</v>
      </c>
      <c r="K12" s="4">
        <v>11</v>
      </c>
      <c r="L12">
        <f t="shared" si="3"/>
        <v>1</v>
      </c>
      <c r="O12">
        <f t="shared" si="4"/>
        <v>0.84615384615384615</v>
      </c>
      <c r="S12">
        <f t="shared" si="5"/>
        <v>0.6470588235294118</v>
      </c>
      <c r="V12">
        <f t="shared" si="6"/>
        <v>0.57894736842105265</v>
      </c>
    </row>
    <row r="13" spans="1:22" x14ac:dyDescent="0.3">
      <c r="A13">
        <v>12</v>
      </c>
      <c r="D13">
        <f t="shared" si="0"/>
        <v>4</v>
      </c>
      <c r="E13" s="6">
        <v>7</v>
      </c>
      <c r="F13">
        <f t="shared" si="1"/>
        <v>2.4</v>
      </c>
      <c r="H13" s="6">
        <v>5</v>
      </c>
      <c r="I13">
        <f t="shared" si="2"/>
        <v>1.7142857142857142</v>
      </c>
      <c r="K13" s="6">
        <v>1</v>
      </c>
      <c r="L13">
        <f t="shared" si="3"/>
        <v>1.0909090909090908</v>
      </c>
      <c r="O13">
        <f t="shared" si="4"/>
        <v>0.92307692307692313</v>
      </c>
      <c r="S13">
        <f t="shared" si="5"/>
        <v>0.70588235294117652</v>
      </c>
      <c r="V13">
        <f t="shared" si="6"/>
        <v>0.63157894736842102</v>
      </c>
    </row>
    <row r="14" spans="1:22" x14ac:dyDescent="0.3">
      <c r="A14">
        <v>13</v>
      </c>
      <c r="D14">
        <f t="shared" si="0"/>
        <v>4.333333333333333</v>
      </c>
      <c r="E14" s="6">
        <v>8</v>
      </c>
      <c r="F14">
        <f t="shared" si="1"/>
        <v>2.6</v>
      </c>
      <c r="H14" s="6">
        <v>6</v>
      </c>
      <c r="I14">
        <f t="shared" si="2"/>
        <v>1.8571428571428572</v>
      </c>
      <c r="K14" s="6">
        <v>2</v>
      </c>
      <c r="L14">
        <f t="shared" si="3"/>
        <v>1.1818181818181819</v>
      </c>
      <c r="N14" s="7">
        <v>13</v>
      </c>
      <c r="O14">
        <f t="shared" si="4"/>
        <v>1</v>
      </c>
      <c r="S14">
        <f t="shared" si="5"/>
        <v>0.76470588235294112</v>
      </c>
      <c r="V14">
        <f t="shared" si="6"/>
        <v>0.68421052631578949</v>
      </c>
    </row>
    <row r="15" spans="1:22" x14ac:dyDescent="0.3">
      <c r="A15">
        <v>14</v>
      </c>
      <c r="D15">
        <f t="shared" si="0"/>
        <v>4.666666666666667</v>
      </c>
      <c r="E15" s="6">
        <v>9</v>
      </c>
      <c r="F15">
        <f t="shared" si="1"/>
        <v>2.8</v>
      </c>
      <c r="H15" s="6">
        <v>7</v>
      </c>
      <c r="I15">
        <f t="shared" si="2"/>
        <v>2</v>
      </c>
      <c r="K15" s="6">
        <v>3</v>
      </c>
      <c r="L15">
        <f t="shared" si="3"/>
        <v>1.2727272727272727</v>
      </c>
      <c r="N15" s="6">
        <v>1</v>
      </c>
      <c r="O15">
        <f t="shared" si="4"/>
        <v>1.0769230769230769</v>
      </c>
      <c r="S15">
        <f t="shared" si="5"/>
        <v>0.82352941176470584</v>
      </c>
      <c r="V15">
        <f t="shared" si="6"/>
        <v>0.73684210526315785</v>
      </c>
    </row>
    <row r="16" spans="1:22" x14ac:dyDescent="0.3">
      <c r="A16">
        <v>15</v>
      </c>
      <c r="C16" s="1" t="s">
        <v>1</v>
      </c>
      <c r="D16">
        <f t="shared" si="0"/>
        <v>5</v>
      </c>
      <c r="E16" s="2" t="s">
        <v>1</v>
      </c>
      <c r="F16">
        <f t="shared" si="1"/>
        <v>3</v>
      </c>
      <c r="H16" s="6">
        <v>8</v>
      </c>
      <c r="I16">
        <f t="shared" si="2"/>
        <v>2.1428571428571428</v>
      </c>
      <c r="K16" s="6">
        <v>4</v>
      </c>
      <c r="L16">
        <f t="shared" si="3"/>
        <v>1.3636363636363635</v>
      </c>
      <c r="N16" s="6">
        <v>2</v>
      </c>
      <c r="O16">
        <f t="shared" si="4"/>
        <v>1.1538461538461537</v>
      </c>
      <c r="S16">
        <f t="shared" si="5"/>
        <v>0.88235294117647056</v>
      </c>
      <c r="V16">
        <f t="shared" si="6"/>
        <v>0.78947368421052633</v>
      </c>
    </row>
    <row r="17" spans="1:22" x14ac:dyDescent="0.3">
      <c r="A17">
        <v>16</v>
      </c>
      <c r="D17">
        <f t="shared" si="0"/>
        <v>5.333333333333333</v>
      </c>
      <c r="F17">
        <f t="shared" si="1"/>
        <v>3.2</v>
      </c>
      <c r="H17" s="6">
        <v>9</v>
      </c>
      <c r="I17">
        <f t="shared" si="2"/>
        <v>2.2857142857142856</v>
      </c>
      <c r="K17" s="6">
        <v>5</v>
      </c>
      <c r="L17">
        <f t="shared" si="3"/>
        <v>1.4545454545454546</v>
      </c>
      <c r="N17" s="6">
        <v>3</v>
      </c>
      <c r="O17">
        <f t="shared" si="4"/>
        <v>1.2307692307692308</v>
      </c>
      <c r="S17">
        <f t="shared" si="5"/>
        <v>0.94117647058823528</v>
      </c>
      <c r="V17">
        <f t="shared" si="6"/>
        <v>0.84210526315789469</v>
      </c>
    </row>
    <row r="18" spans="1:22" x14ac:dyDescent="0.3">
      <c r="A18">
        <v>17</v>
      </c>
      <c r="D18">
        <f t="shared" si="0"/>
        <v>5.666666666666667</v>
      </c>
      <c r="F18">
        <f t="shared" si="1"/>
        <v>3.4</v>
      </c>
      <c r="H18" s="6">
        <v>10</v>
      </c>
      <c r="I18">
        <f t="shared" si="2"/>
        <v>2.4285714285714284</v>
      </c>
      <c r="K18" s="6">
        <v>6</v>
      </c>
      <c r="L18">
        <f t="shared" si="3"/>
        <v>1.5454545454545454</v>
      </c>
      <c r="N18" s="6">
        <v>4</v>
      </c>
      <c r="O18">
        <f t="shared" si="4"/>
        <v>1.3076923076923077</v>
      </c>
      <c r="R18" s="8">
        <v>17</v>
      </c>
      <c r="S18">
        <f t="shared" si="5"/>
        <v>1</v>
      </c>
      <c r="V18">
        <f t="shared" si="6"/>
        <v>0.89473684210526316</v>
      </c>
    </row>
    <row r="19" spans="1:22" x14ac:dyDescent="0.3">
      <c r="A19">
        <v>18</v>
      </c>
      <c r="D19">
        <f t="shared" si="0"/>
        <v>6</v>
      </c>
      <c r="F19">
        <f t="shared" si="1"/>
        <v>3.6</v>
      </c>
      <c r="H19" s="6">
        <v>11</v>
      </c>
      <c r="I19">
        <f t="shared" si="2"/>
        <v>2.5714285714285716</v>
      </c>
      <c r="K19" s="6">
        <v>7</v>
      </c>
      <c r="L19">
        <f t="shared" si="3"/>
        <v>1.6363636363636365</v>
      </c>
      <c r="N19" s="6">
        <v>5</v>
      </c>
      <c r="O19">
        <f t="shared" si="4"/>
        <v>1.3846153846153846</v>
      </c>
      <c r="R19" s="5">
        <v>1</v>
      </c>
      <c r="S19">
        <f t="shared" si="5"/>
        <v>1.0588235294117647</v>
      </c>
      <c r="V19">
        <f t="shared" si="6"/>
        <v>0.94736842105263153</v>
      </c>
    </row>
    <row r="20" spans="1:22" x14ac:dyDescent="0.3">
      <c r="A20">
        <v>19</v>
      </c>
      <c r="D20">
        <f t="shared" si="0"/>
        <v>6.333333333333333</v>
      </c>
      <c r="F20">
        <f t="shared" si="1"/>
        <v>3.8</v>
      </c>
      <c r="H20" s="6">
        <v>12</v>
      </c>
      <c r="I20">
        <f t="shared" si="2"/>
        <v>2.7142857142857144</v>
      </c>
      <c r="K20" s="6">
        <v>8</v>
      </c>
      <c r="L20">
        <f t="shared" si="3"/>
        <v>1.7272727272727273</v>
      </c>
      <c r="N20" s="6">
        <v>6</v>
      </c>
      <c r="O20">
        <f t="shared" si="4"/>
        <v>1.4615384615384615</v>
      </c>
      <c r="R20" s="5">
        <v>2</v>
      </c>
      <c r="S20">
        <f t="shared" si="5"/>
        <v>1.1176470588235294</v>
      </c>
      <c r="U20" s="8">
        <v>19</v>
      </c>
      <c r="V20">
        <f t="shared" si="6"/>
        <v>1</v>
      </c>
    </row>
    <row r="21" spans="1:22" x14ac:dyDescent="0.3">
      <c r="A21">
        <v>20</v>
      </c>
      <c r="D21">
        <f t="shared" si="0"/>
        <v>6.666666666666667</v>
      </c>
      <c r="F21">
        <f t="shared" si="1"/>
        <v>4</v>
      </c>
      <c r="H21" s="6">
        <v>13</v>
      </c>
      <c r="I21">
        <f t="shared" si="2"/>
        <v>2.8571428571428572</v>
      </c>
      <c r="K21" s="6">
        <v>9</v>
      </c>
      <c r="L21">
        <f t="shared" si="3"/>
        <v>1.8181818181818181</v>
      </c>
      <c r="N21" s="6">
        <v>7</v>
      </c>
      <c r="O21">
        <f t="shared" si="4"/>
        <v>1.5384615384615385</v>
      </c>
      <c r="R21" s="5">
        <v>3</v>
      </c>
      <c r="S21">
        <f t="shared" si="5"/>
        <v>1.1764705882352942</v>
      </c>
      <c r="U21" s="5">
        <v>1</v>
      </c>
      <c r="V21">
        <f t="shared" si="6"/>
        <v>1.0526315789473684</v>
      </c>
    </row>
    <row r="22" spans="1:22" x14ac:dyDescent="0.3">
      <c r="A22">
        <v>21</v>
      </c>
      <c r="C22" s="1" t="s">
        <v>5</v>
      </c>
      <c r="D22">
        <f t="shared" si="0"/>
        <v>7</v>
      </c>
      <c r="E22" s="10"/>
      <c r="F22">
        <f t="shared" si="1"/>
        <v>4.2</v>
      </c>
      <c r="H22" s="3" t="s">
        <v>22</v>
      </c>
      <c r="I22">
        <f t="shared" si="2"/>
        <v>3</v>
      </c>
      <c r="K22" s="6">
        <v>10</v>
      </c>
      <c r="L22">
        <f t="shared" si="3"/>
        <v>1.9090909090909092</v>
      </c>
      <c r="N22" s="6">
        <v>8</v>
      </c>
      <c r="O22">
        <f t="shared" si="4"/>
        <v>1.6153846153846154</v>
      </c>
      <c r="R22" s="5">
        <v>4</v>
      </c>
      <c r="S22">
        <f t="shared" si="5"/>
        <v>1.2352941176470589</v>
      </c>
      <c r="U22" s="5">
        <v>2</v>
      </c>
      <c r="V22">
        <f t="shared" si="6"/>
        <v>1.1052631578947369</v>
      </c>
    </row>
    <row r="23" spans="1:22" x14ac:dyDescent="0.3">
      <c r="A23">
        <v>22</v>
      </c>
      <c r="D23">
        <f t="shared" si="0"/>
        <v>7.333333333333333</v>
      </c>
      <c r="F23">
        <f t="shared" si="1"/>
        <v>4.4000000000000004</v>
      </c>
      <c r="I23">
        <f t="shared" si="2"/>
        <v>3.1428571428571428</v>
      </c>
      <c r="K23" s="6">
        <v>11</v>
      </c>
      <c r="L23">
        <f t="shared" si="3"/>
        <v>2</v>
      </c>
      <c r="N23" s="6">
        <v>9</v>
      </c>
      <c r="O23">
        <f t="shared" si="4"/>
        <v>1.6923076923076923</v>
      </c>
      <c r="R23" s="5">
        <v>5</v>
      </c>
      <c r="S23">
        <f t="shared" si="5"/>
        <v>1.2941176470588236</v>
      </c>
      <c r="U23" s="5">
        <v>3</v>
      </c>
      <c r="V23">
        <f t="shared" si="6"/>
        <v>1.1578947368421053</v>
      </c>
    </row>
    <row r="24" spans="1:22" x14ac:dyDescent="0.3">
      <c r="A24">
        <v>23</v>
      </c>
      <c r="D24">
        <f t="shared" si="0"/>
        <v>7.666666666666667</v>
      </c>
      <c r="F24">
        <f t="shared" si="1"/>
        <v>4.5999999999999996</v>
      </c>
      <c r="I24">
        <f t="shared" si="2"/>
        <v>3.2857142857142856</v>
      </c>
      <c r="K24" s="6">
        <v>12</v>
      </c>
      <c r="L24">
        <f t="shared" si="3"/>
        <v>2.0909090909090908</v>
      </c>
      <c r="N24" s="6">
        <v>10</v>
      </c>
      <c r="O24">
        <f t="shared" si="4"/>
        <v>1.7692307692307692</v>
      </c>
      <c r="R24" s="5">
        <v>6</v>
      </c>
      <c r="S24">
        <f t="shared" si="5"/>
        <v>1.3529411764705883</v>
      </c>
      <c r="U24" s="5">
        <v>4</v>
      </c>
      <c r="V24">
        <f t="shared" si="6"/>
        <v>1.2105263157894737</v>
      </c>
    </row>
    <row r="25" spans="1:22" x14ac:dyDescent="0.3">
      <c r="A25">
        <v>24</v>
      </c>
      <c r="D25">
        <f t="shared" si="0"/>
        <v>8</v>
      </c>
      <c r="F25">
        <f t="shared" si="1"/>
        <v>4.8</v>
      </c>
      <c r="I25">
        <f t="shared" si="2"/>
        <v>3.4285714285714284</v>
      </c>
      <c r="K25" s="6">
        <v>13</v>
      </c>
      <c r="L25">
        <f t="shared" si="3"/>
        <v>2.1818181818181817</v>
      </c>
      <c r="N25" s="6">
        <v>11</v>
      </c>
      <c r="O25">
        <f t="shared" si="4"/>
        <v>1.8461538461538463</v>
      </c>
      <c r="R25" s="5">
        <v>7</v>
      </c>
      <c r="S25">
        <f t="shared" si="5"/>
        <v>1.411764705882353</v>
      </c>
      <c r="U25" s="5">
        <v>5</v>
      </c>
      <c r="V25">
        <f t="shared" si="6"/>
        <v>1.263157894736842</v>
      </c>
    </row>
    <row r="26" spans="1:22" x14ac:dyDescent="0.3">
      <c r="A26">
        <v>25</v>
      </c>
      <c r="D26">
        <f t="shared" si="0"/>
        <v>8.3333333333333339</v>
      </c>
      <c r="E26" s="2" t="s">
        <v>2</v>
      </c>
      <c r="F26">
        <f t="shared" si="1"/>
        <v>5</v>
      </c>
      <c r="I26">
        <f t="shared" si="2"/>
        <v>3.5714285714285716</v>
      </c>
      <c r="K26" s="6">
        <v>14</v>
      </c>
      <c r="L26">
        <f t="shared" si="3"/>
        <v>2.2727272727272729</v>
      </c>
      <c r="N26" s="6">
        <v>12</v>
      </c>
      <c r="O26">
        <f t="shared" si="4"/>
        <v>1.9230769230769231</v>
      </c>
      <c r="R26" s="5">
        <v>8</v>
      </c>
      <c r="S26">
        <f t="shared" si="5"/>
        <v>1.4705882352941178</v>
      </c>
      <c r="U26" s="5">
        <v>6</v>
      </c>
      <c r="V26">
        <f t="shared" si="6"/>
        <v>1.3157894736842106</v>
      </c>
    </row>
    <row r="27" spans="1:22" x14ac:dyDescent="0.3">
      <c r="A27">
        <v>26</v>
      </c>
      <c r="D27">
        <f t="shared" si="0"/>
        <v>8.6666666666666661</v>
      </c>
      <c r="F27">
        <f t="shared" si="1"/>
        <v>5.2</v>
      </c>
      <c r="I27">
        <f t="shared" si="2"/>
        <v>3.7142857142857144</v>
      </c>
      <c r="K27" s="6">
        <v>15</v>
      </c>
      <c r="L27">
        <f t="shared" si="3"/>
        <v>2.3636363636363638</v>
      </c>
      <c r="N27" s="6">
        <v>13</v>
      </c>
      <c r="O27">
        <f t="shared" si="4"/>
        <v>2</v>
      </c>
      <c r="R27" s="5">
        <v>9</v>
      </c>
      <c r="S27">
        <f t="shared" si="5"/>
        <v>1.5294117647058822</v>
      </c>
      <c r="U27" s="5">
        <v>7</v>
      </c>
      <c r="V27">
        <f t="shared" si="6"/>
        <v>1.368421052631579</v>
      </c>
    </row>
    <row r="28" spans="1:22" x14ac:dyDescent="0.3">
      <c r="A28">
        <v>27</v>
      </c>
      <c r="C28" s="1" t="s">
        <v>3</v>
      </c>
      <c r="D28">
        <f t="shared" si="0"/>
        <v>9</v>
      </c>
      <c r="F28">
        <f t="shared" si="1"/>
        <v>5.4</v>
      </c>
      <c r="H28" s="10"/>
      <c r="I28">
        <f t="shared" si="2"/>
        <v>3.8571428571428572</v>
      </c>
      <c r="K28" s="6">
        <v>16</v>
      </c>
      <c r="L28">
        <f t="shared" si="3"/>
        <v>2.4545454545454546</v>
      </c>
      <c r="N28" s="6">
        <v>14</v>
      </c>
      <c r="O28">
        <f t="shared" si="4"/>
        <v>2.0769230769230771</v>
      </c>
      <c r="R28" s="5">
        <v>10</v>
      </c>
      <c r="S28">
        <f t="shared" si="5"/>
        <v>1.588235294117647</v>
      </c>
      <c r="U28" s="5">
        <v>8</v>
      </c>
      <c r="V28">
        <f t="shared" si="6"/>
        <v>1.4210526315789473</v>
      </c>
    </row>
    <row r="29" spans="1:22" x14ac:dyDescent="0.3">
      <c r="A29">
        <v>28</v>
      </c>
      <c r="D29">
        <f t="shared" si="0"/>
        <v>9.3333333333333339</v>
      </c>
      <c r="F29">
        <f t="shared" si="1"/>
        <v>5.6</v>
      </c>
      <c r="I29">
        <f t="shared" si="2"/>
        <v>4</v>
      </c>
      <c r="K29" s="6">
        <v>17</v>
      </c>
      <c r="L29">
        <f t="shared" si="3"/>
        <v>2.5454545454545454</v>
      </c>
      <c r="N29" s="6">
        <v>15</v>
      </c>
      <c r="O29">
        <f t="shared" si="4"/>
        <v>2.1538461538461537</v>
      </c>
      <c r="R29" s="5">
        <v>11</v>
      </c>
      <c r="S29">
        <f t="shared" si="5"/>
        <v>1.6470588235294117</v>
      </c>
      <c r="U29" s="5">
        <v>9</v>
      </c>
      <c r="V29">
        <f t="shared" si="6"/>
        <v>1.4736842105263157</v>
      </c>
    </row>
    <row r="30" spans="1:22" x14ac:dyDescent="0.3">
      <c r="A30">
        <v>29</v>
      </c>
      <c r="D30">
        <f t="shared" si="0"/>
        <v>9.6666666666666661</v>
      </c>
      <c r="F30">
        <f t="shared" si="1"/>
        <v>5.8</v>
      </c>
      <c r="I30">
        <f t="shared" si="2"/>
        <v>4.1428571428571432</v>
      </c>
      <c r="K30" s="6">
        <v>18</v>
      </c>
      <c r="L30">
        <f t="shared" si="3"/>
        <v>2.6363636363636362</v>
      </c>
      <c r="N30" s="6">
        <v>16</v>
      </c>
      <c r="O30">
        <f t="shared" si="4"/>
        <v>2.2307692307692308</v>
      </c>
      <c r="R30" s="5">
        <v>12</v>
      </c>
      <c r="S30">
        <f t="shared" si="5"/>
        <v>1.7058823529411764</v>
      </c>
      <c r="U30" s="5">
        <v>10</v>
      </c>
      <c r="V30">
        <f t="shared" si="6"/>
        <v>1.5263157894736843</v>
      </c>
    </row>
    <row r="31" spans="1:22" x14ac:dyDescent="0.3">
      <c r="A31">
        <v>30</v>
      </c>
      <c r="D31">
        <f t="shared" si="0"/>
        <v>10</v>
      </c>
      <c r="F31">
        <f t="shared" si="1"/>
        <v>6</v>
      </c>
      <c r="I31">
        <f t="shared" si="2"/>
        <v>4.2857142857142856</v>
      </c>
      <c r="K31" s="6">
        <v>19</v>
      </c>
      <c r="L31">
        <f t="shared" si="3"/>
        <v>2.7272727272727271</v>
      </c>
      <c r="N31" s="6">
        <v>17</v>
      </c>
      <c r="O31">
        <f t="shared" si="4"/>
        <v>2.3076923076923075</v>
      </c>
      <c r="R31" s="5">
        <v>13</v>
      </c>
      <c r="S31">
        <f t="shared" si="5"/>
        <v>1.7647058823529411</v>
      </c>
      <c r="U31" s="5">
        <v>11</v>
      </c>
      <c r="V31">
        <f t="shared" si="6"/>
        <v>1.5789473684210527</v>
      </c>
    </row>
    <row r="32" spans="1:22" x14ac:dyDescent="0.3">
      <c r="A32">
        <v>31</v>
      </c>
      <c r="D32">
        <f t="shared" si="0"/>
        <v>10.333333333333334</v>
      </c>
      <c r="F32">
        <f t="shared" si="1"/>
        <v>6.2</v>
      </c>
      <c r="I32">
        <f t="shared" si="2"/>
        <v>4.4285714285714288</v>
      </c>
      <c r="K32" s="6">
        <v>20</v>
      </c>
      <c r="L32">
        <f t="shared" si="3"/>
        <v>2.8181818181818183</v>
      </c>
      <c r="N32" s="6">
        <v>18</v>
      </c>
      <c r="O32">
        <f t="shared" si="4"/>
        <v>2.3846153846153846</v>
      </c>
      <c r="R32" s="5">
        <v>14</v>
      </c>
      <c r="S32">
        <f t="shared" si="5"/>
        <v>1.8235294117647058</v>
      </c>
      <c r="U32" s="5">
        <v>12</v>
      </c>
      <c r="V32">
        <f t="shared" si="6"/>
        <v>1.631578947368421</v>
      </c>
    </row>
    <row r="33" spans="1:22" x14ac:dyDescent="0.3">
      <c r="A33">
        <v>32</v>
      </c>
      <c r="D33">
        <f t="shared" si="0"/>
        <v>10.666666666666666</v>
      </c>
      <c r="F33">
        <f t="shared" si="1"/>
        <v>6.4</v>
      </c>
      <c r="I33">
        <f t="shared" si="2"/>
        <v>4.5714285714285712</v>
      </c>
      <c r="K33" s="6">
        <v>21</v>
      </c>
      <c r="L33">
        <f t="shared" si="3"/>
        <v>2.9090909090909092</v>
      </c>
      <c r="N33" s="6">
        <v>19</v>
      </c>
      <c r="O33">
        <f t="shared" si="4"/>
        <v>2.4615384615384617</v>
      </c>
      <c r="R33" s="5">
        <v>15</v>
      </c>
      <c r="S33">
        <f t="shared" si="5"/>
        <v>1.8823529411764706</v>
      </c>
      <c r="U33" s="5">
        <v>13</v>
      </c>
      <c r="V33">
        <f t="shared" si="6"/>
        <v>1.6842105263157894</v>
      </c>
    </row>
    <row r="34" spans="1:22" x14ac:dyDescent="0.3">
      <c r="A34">
        <v>33</v>
      </c>
      <c r="C34" s="1" t="s">
        <v>4</v>
      </c>
      <c r="D34">
        <f t="shared" si="0"/>
        <v>11</v>
      </c>
      <c r="F34">
        <f t="shared" si="1"/>
        <v>6.6</v>
      </c>
      <c r="I34">
        <f t="shared" si="2"/>
        <v>4.7142857142857144</v>
      </c>
      <c r="K34" s="4" t="s">
        <v>28</v>
      </c>
      <c r="L34">
        <f t="shared" si="3"/>
        <v>3</v>
      </c>
      <c r="N34" s="6">
        <v>20</v>
      </c>
      <c r="O34">
        <f t="shared" si="4"/>
        <v>2.5384615384615383</v>
      </c>
      <c r="R34" s="5">
        <v>16</v>
      </c>
      <c r="S34">
        <f t="shared" si="5"/>
        <v>1.9411764705882353</v>
      </c>
      <c r="U34" s="5">
        <v>14</v>
      </c>
      <c r="V34">
        <f t="shared" si="6"/>
        <v>1.736842105263158</v>
      </c>
    </row>
    <row r="35" spans="1:22" x14ac:dyDescent="0.3">
      <c r="A35">
        <v>34</v>
      </c>
      <c r="D35">
        <f t="shared" si="0"/>
        <v>11.333333333333334</v>
      </c>
      <c r="F35">
        <f t="shared" si="1"/>
        <v>6.8</v>
      </c>
      <c r="I35">
        <f t="shared" si="2"/>
        <v>4.8571428571428568</v>
      </c>
      <c r="L35">
        <f t="shared" si="3"/>
        <v>3.0909090909090908</v>
      </c>
      <c r="N35" s="6">
        <v>21</v>
      </c>
      <c r="O35">
        <f t="shared" si="4"/>
        <v>2.6153846153846154</v>
      </c>
      <c r="R35" s="5">
        <v>17</v>
      </c>
      <c r="S35">
        <f t="shared" si="5"/>
        <v>2</v>
      </c>
      <c r="U35" s="5">
        <v>15</v>
      </c>
      <c r="V35">
        <f t="shared" si="6"/>
        <v>1.7894736842105263</v>
      </c>
    </row>
    <row r="36" spans="1:22" x14ac:dyDescent="0.3">
      <c r="A36">
        <v>35</v>
      </c>
      <c r="D36">
        <f t="shared" si="0"/>
        <v>11.666666666666666</v>
      </c>
      <c r="E36" s="2" t="s">
        <v>8</v>
      </c>
      <c r="F36">
        <f t="shared" si="1"/>
        <v>7</v>
      </c>
      <c r="H36" s="3" t="s">
        <v>23</v>
      </c>
      <c r="I36">
        <f t="shared" si="2"/>
        <v>5</v>
      </c>
      <c r="L36">
        <f t="shared" si="3"/>
        <v>3.1818181818181817</v>
      </c>
      <c r="N36" s="6">
        <v>22</v>
      </c>
      <c r="O36">
        <f t="shared" si="4"/>
        <v>2.6923076923076925</v>
      </c>
      <c r="R36" s="5">
        <v>18</v>
      </c>
      <c r="S36">
        <f t="shared" si="5"/>
        <v>2.0588235294117645</v>
      </c>
      <c r="U36" s="5">
        <v>16</v>
      </c>
      <c r="V36">
        <f t="shared" si="6"/>
        <v>1.8421052631578947</v>
      </c>
    </row>
    <row r="37" spans="1:22" x14ac:dyDescent="0.3">
      <c r="A37">
        <v>36</v>
      </c>
      <c r="D37">
        <f t="shared" si="0"/>
        <v>12</v>
      </c>
      <c r="F37">
        <f t="shared" si="1"/>
        <v>7.2</v>
      </c>
      <c r="I37">
        <f t="shared" si="2"/>
        <v>5.1428571428571432</v>
      </c>
      <c r="L37">
        <f t="shared" si="3"/>
        <v>3.2727272727272729</v>
      </c>
      <c r="N37" s="6">
        <v>23</v>
      </c>
      <c r="O37">
        <f t="shared" si="4"/>
        <v>2.7692307692307692</v>
      </c>
      <c r="R37" s="5">
        <v>19</v>
      </c>
      <c r="S37">
        <f t="shared" si="5"/>
        <v>2.1176470588235294</v>
      </c>
      <c r="U37" s="5">
        <v>17</v>
      </c>
      <c r="V37">
        <f t="shared" si="6"/>
        <v>1.8947368421052631</v>
      </c>
    </row>
    <row r="38" spans="1:22" x14ac:dyDescent="0.3">
      <c r="A38">
        <v>37</v>
      </c>
      <c r="D38">
        <f t="shared" si="0"/>
        <v>12.333333333333334</v>
      </c>
      <c r="F38">
        <f t="shared" si="1"/>
        <v>7.4</v>
      </c>
      <c r="I38">
        <f t="shared" si="2"/>
        <v>5.2857142857142856</v>
      </c>
      <c r="L38">
        <f t="shared" si="3"/>
        <v>3.3636363636363638</v>
      </c>
      <c r="N38" s="6">
        <v>24</v>
      </c>
      <c r="O38">
        <f t="shared" si="4"/>
        <v>2.8461538461538463</v>
      </c>
      <c r="R38" s="5">
        <v>20</v>
      </c>
      <c r="S38">
        <f t="shared" si="5"/>
        <v>2.1764705882352939</v>
      </c>
      <c r="U38" s="5">
        <v>18</v>
      </c>
      <c r="V38">
        <f t="shared" si="6"/>
        <v>1.9473684210526316</v>
      </c>
    </row>
    <row r="39" spans="1:22" x14ac:dyDescent="0.3">
      <c r="A39">
        <v>38</v>
      </c>
      <c r="D39">
        <f t="shared" si="0"/>
        <v>12.666666666666666</v>
      </c>
      <c r="F39">
        <f t="shared" si="1"/>
        <v>7.6</v>
      </c>
      <c r="I39">
        <f t="shared" si="2"/>
        <v>5.4285714285714288</v>
      </c>
      <c r="L39">
        <f t="shared" si="3"/>
        <v>3.4545454545454546</v>
      </c>
      <c r="N39" s="6">
        <v>25</v>
      </c>
      <c r="O39">
        <f t="shared" si="4"/>
        <v>2.9230769230769229</v>
      </c>
      <c r="R39" s="5">
        <v>21</v>
      </c>
      <c r="S39">
        <f t="shared" si="5"/>
        <v>2.2352941176470589</v>
      </c>
      <c r="U39" s="5">
        <v>19</v>
      </c>
      <c r="V39">
        <f t="shared" si="6"/>
        <v>2</v>
      </c>
    </row>
    <row r="40" spans="1:22" x14ac:dyDescent="0.3">
      <c r="A40">
        <v>39</v>
      </c>
      <c r="C40" s="1" t="s">
        <v>10</v>
      </c>
      <c r="D40">
        <f t="shared" si="0"/>
        <v>13</v>
      </c>
      <c r="F40">
        <f t="shared" si="1"/>
        <v>7.8</v>
      </c>
      <c r="I40">
        <f t="shared" si="2"/>
        <v>5.5714285714285712</v>
      </c>
      <c r="K40" s="10"/>
      <c r="L40">
        <f t="shared" si="3"/>
        <v>3.5454545454545454</v>
      </c>
      <c r="N40" s="7" t="s">
        <v>31</v>
      </c>
      <c r="O40">
        <f t="shared" si="4"/>
        <v>3</v>
      </c>
      <c r="R40" s="5">
        <v>22</v>
      </c>
      <c r="S40">
        <f t="shared" si="5"/>
        <v>2.2941176470588234</v>
      </c>
      <c r="U40" s="5">
        <v>20</v>
      </c>
      <c r="V40">
        <f t="shared" si="6"/>
        <v>2.0526315789473686</v>
      </c>
    </row>
    <row r="41" spans="1:22" x14ac:dyDescent="0.3">
      <c r="A41">
        <v>40</v>
      </c>
      <c r="D41">
        <f t="shared" si="0"/>
        <v>13.333333333333334</v>
      </c>
      <c r="F41">
        <f t="shared" si="1"/>
        <v>8</v>
      </c>
      <c r="I41">
        <f t="shared" si="2"/>
        <v>5.7142857142857144</v>
      </c>
      <c r="L41">
        <f t="shared" si="3"/>
        <v>3.6363636363636362</v>
      </c>
      <c r="O41">
        <f t="shared" si="4"/>
        <v>3.0769230769230771</v>
      </c>
      <c r="R41" s="5">
        <v>23</v>
      </c>
      <c r="S41">
        <f t="shared" si="5"/>
        <v>2.3529411764705883</v>
      </c>
      <c r="U41" s="5">
        <v>21</v>
      </c>
      <c r="V41">
        <f t="shared" si="6"/>
        <v>2.1052631578947367</v>
      </c>
    </row>
    <row r="42" spans="1:22" x14ac:dyDescent="0.3">
      <c r="A42">
        <v>41</v>
      </c>
      <c r="D42">
        <f t="shared" si="0"/>
        <v>13.666666666666666</v>
      </c>
      <c r="F42">
        <f t="shared" si="1"/>
        <v>8.1999999999999993</v>
      </c>
      <c r="I42">
        <f t="shared" si="2"/>
        <v>5.8571428571428568</v>
      </c>
      <c r="L42">
        <f t="shared" si="3"/>
        <v>3.7272727272727271</v>
      </c>
      <c r="O42">
        <f t="shared" si="4"/>
        <v>3.1538461538461537</v>
      </c>
      <c r="R42" s="5">
        <v>24</v>
      </c>
      <c r="S42">
        <f t="shared" si="5"/>
        <v>2.4117647058823528</v>
      </c>
      <c r="U42" s="5">
        <v>22</v>
      </c>
      <c r="V42">
        <f t="shared" si="6"/>
        <v>2.1578947368421053</v>
      </c>
    </row>
    <row r="43" spans="1:22" x14ac:dyDescent="0.3">
      <c r="A43">
        <v>42</v>
      </c>
      <c r="D43">
        <f t="shared" si="0"/>
        <v>14</v>
      </c>
      <c r="F43">
        <f t="shared" si="1"/>
        <v>8.4</v>
      </c>
      <c r="I43">
        <f t="shared" si="2"/>
        <v>6</v>
      </c>
      <c r="L43">
        <f t="shared" si="3"/>
        <v>3.8181818181818183</v>
      </c>
      <c r="O43">
        <f t="shared" si="4"/>
        <v>3.2307692307692308</v>
      </c>
      <c r="R43" s="5">
        <v>25</v>
      </c>
      <c r="S43">
        <f t="shared" si="5"/>
        <v>2.4705882352941178</v>
      </c>
      <c r="U43" s="5">
        <v>23</v>
      </c>
      <c r="V43">
        <f t="shared" si="6"/>
        <v>2.2105263157894739</v>
      </c>
    </row>
    <row r="44" spans="1:22" x14ac:dyDescent="0.3">
      <c r="A44">
        <v>43</v>
      </c>
      <c r="D44">
        <f t="shared" si="0"/>
        <v>14.333333333333334</v>
      </c>
      <c r="F44">
        <f t="shared" si="1"/>
        <v>8.6</v>
      </c>
      <c r="I44">
        <f t="shared" si="2"/>
        <v>6.1428571428571432</v>
      </c>
      <c r="L44">
        <f t="shared" si="3"/>
        <v>3.9090909090909092</v>
      </c>
      <c r="O44">
        <f t="shared" si="4"/>
        <v>3.3076923076923075</v>
      </c>
      <c r="R44" s="5">
        <v>26</v>
      </c>
      <c r="S44">
        <f t="shared" si="5"/>
        <v>2.5294117647058822</v>
      </c>
      <c r="U44" s="5">
        <v>24</v>
      </c>
      <c r="V44">
        <f t="shared" si="6"/>
        <v>2.263157894736842</v>
      </c>
    </row>
    <row r="45" spans="1:22" x14ac:dyDescent="0.3">
      <c r="A45">
        <v>44</v>
      </c>
      <c r="D45">
        <f t="shared" si="0"/>
        <v>14.666666666666666</v>
      </c>
      <c r="F45">
        <f t="shared" si="1"/>
        <v>8.8000000000000007</v>
      </c>
      <c r="I45">
        <f t="shared" si="2"/>
        <v>6.2857142857142856</v>
      </c>
      <c r="L45">
        <f t="shared" si="3"/>
        <v>4</v>
      </c>
      <c r="O45">
        <f t="shared" si="4"/>
        <v>3.3846153846153846</v>
      </c>
      <c r="R45" s="5">
        <v>27</v>
      </c>
      <c r="S45">
        <f t="shared" si="5"/>
        <v>2.5882352941176472</v>
      </c>
      <c r="U45" s="5">
        <v>25</v>
      </c>
      <c r="V45">
        <f t="shared" si="6"/>
        <v>2.3157894736842106</v>
      </c>
    </row>
    <row r="46" spans="1:22" x14ac:dyDescent="0.3">
      <c r="A46">
        <v>45</v>
      </c>
      <c r="C46" s="1" t="s">
        <v>7</v>
      </c>
      <c r="D46">
        <f t="shared" si="0"/>
        <v>15</v>
      </c>
      <c r="E46" s="2" t="s">
        <v>7</v>
      </c>
      <c r="F46">
        <f t="shared" si="1"/>
        <v>9</v>
      </c>
      <c r="I46">
        <f t="shared" si="2"/>
        <v>6.4285714285714288</v>
      </c>
      <c r="L46">
        <f t="shared" si="3"/>
        <v>4.0909090909090908</v>
      </c>
      <c r="N46" s="10"/>
      <c r="O46">
        <f t="shared" si="4"/>
        <v>3.4615384615384617</v>
      </c>
      <c r="R46" s="5">
        <v>28</v>
      </c>
      <c r="S46">
        <f t="shared" si="5"/>
        <v>2.6470588235294117</v>
      </c>
      <c r="U46" s="5">
        <v>26</v>
      </c>
      <c r="V46">
        <f t="shared" si="6"/>
        <v>2.3684210526315788</v>
      </c>
    </row>
    <row r="47" spans="1:22" x14ac:dyDescent="0.3">
      <c r="A47">
        <v>46</v>
      </c>
      <c r="D47">
        <f t="shared" si="0"/>
        <v>15.333333333333334</v>
      </c>
      <c r="F47">
        <f t="shared" si="1"/>
        <v>9.1999999999999993</v>
      </c>
      <c r="I47">
        <f t="shared" si="2"/>
        <v>6.5714285714285712</v>
      </c>
      <c r="L47">
        <f t="shared" si="3"/>
        <v>4.1818181818181817</v>
      </c>
      <c r="O47">
        <f t="shared" si="4"/>
        <v>3.5384615384615383</v>
      </c>
      <c r="R47" s="5">
        <v>29</v>
      </c>
      <c r="S47">
        <f t="shared" si="5"/>
        <v>2.7058823529411766</v>
      </c>
      <c r="U47" s="5">
        <v>27</v>
      </c>
      <c r="V47">
        <f t="shared" si="6"/>
        <v>2.4210526315789473</v>
      </c>
    </row>
    <row r="48" spans="1:22" x14ac:dyDescent="0.3">
      <c r="A48">
        <v>47</v>
      </c>
      <c r="D48">
        <f t="shared" si="0"/>
        <v>15.666666666666666</v>
      </c>
      <c r="F48">
        <f t="shared" si="1"/>
        <v>9.4</v>
      </c>
      <c r="I48">
        <f t="shared" si="2"/>
        <v>6.7142857142857144</v>
      </c>
      <c r="L48">
        <f t="shared" si="3"/>
        <v>4.2727272727272725</v>
      </c>
      <c r="O48">
        <f t="shared" si="4"/>
        <v>3.6153846153846154</v>
      </c>
      <c r="R48" s="5">
        <v>30</v>
      </c>
      <c r="S48">
        <f t="shared" si="5"/>
        <v>2.7647058823529411</v>
      </c>
      <c r="U48" s="5">
        <v>28</v>
      </c>
      <c r="V48">
        <f t="shared" si="6"/>
        <v>2.4736842105263159</v>
      </c>
    </row>
    <row r="49" spans="1:22" x14ac:dyDescent="0.3">
      <c r="A49">
        <v>48</v>
      </c>
      <c r="D49">
        <f t="shared" si="0"/>
        <v>16</v>
      </c>
      <c r="F49">
        <f t="shared" si="1"/>
        <v>9.6</v>
      </c>
      <c r="I49">
        <f t="shared" si="2"/>
        <v>6.8571428571428568</v>
      </c>
      <c r="L49">
        <f t="shared" si="3"/>
        <v>4.3636363636363633</v>
      </c>
      <c r="O49">
        <f t="shared" si="4"/>
        <v>3.6923076923076925</v>
      </c>
      <c r="R49" s="5">
        <v>31</v>
      </c>
      <c r="S49">
        <f t="shared" si="5"/>
        <v>2.8235294117647061</v>
      </c>
      <c r="U49" s="5">
        <v>29</v>
      </c>
      <c r="V49">
        <f t="shared" si="6"/>
        <v>2.5263157894736841</v>
      </c>
    </row>
    <row r="50" spans="1:22" x14ac:dyDescent="0.3">
      <c r="A50">
        <v>49</v>
      </c>
      <c r="C50" t="s">
        <v>6</v>
      </c>
      <c r="D50">
        <f t="shared" si="0"/>
        <v>16.333333333333332</v>
      </c>
      <c r="F50">
        <f t="shared" si="1"/>
        <v>9.8000000000000007</v>
      </c>
      <c r="H50" s="3" t="s">
        <v>6</v>
      </c>
      <c r="I50">
        <f t="shared" si="2"/>
        <v>7</v>
      </c>
      <c r="L50">
        <f t="shared" si="3"/>
        <v>4.4545454545454541</v>
      </c>
      <c r="O50">
        <f t="shared" si="4"/>
        <v>3.7692307692307692</v>
      </c>
      <c r="R50" s="5">
        <v>32</v>
      </c>
      <c r="S50">
        <f t="shared" si="5"/>
        <v>2.8823529411764706</v>
      </c>
      <c r="U50" s="5">
        <v>30</v>
      </c>
      <c r="V50">
        <f t="shared" si="6"/>
        <v>2.5789473684210527</v>
      </c>
    </row>
    <row r="51" spans="1:22" x14ac:dyDescent="0.3">
      <c r="A51">
        <v>50</v>
      </c>
      <c r="D51">
        <f t="shared" si="0"/>
        <v>16.666666666666668</v>
      </c>
      <c r="F51">
        <f t="shared" si="1"/>
        <v>10</v>
      </c>
      <c r="I51">
        <f t="shared" si="2"/>
        <v>7.1428571428571432</v>
      </c>
      <c r="L51">
        <f t="shared" si="3"/>
        <v>4.5454545454545459</v>
      </c>
      <c r="O51">
        <f t="shared" si="4"/>
        <v>3.8461538461538463</v>
      </c>
      <c r="R51" s="5">
        <v>33</v>
      </c>
      <c r="S51">
        <f t="shared" si="5"/>
        <v>2.9411764705882355</v>
      </c>
      <c r="U51" s="5">
        <v>31</v>
      </c>
      <c r="V51">
        <f t="shared" si="6"/>
        <v>2.6315789473684212</v>
      </c>
    </row>
    <row r="52" spans="1:22" x14ac:dyDescent="0.3">
      <c r="A52">
        <v>51</v>
      </c>
      <c r="C52" s="1" t="s">
        <v>17</v>
      </c>
      <c r="D52">
        <f t="shared" si="0"/>
        <v>17</v>
      </c>
      <c r="F52">
        <f t="shared" si="1"/>
        <v>10.199999999999999</v>
      </c>
      <c r="I52">
        <f t="shared" si="2"/>
        <v>7.2857142857142856</v>
      </c>
      <c r="L52">
        <f t="shared" si="3"/>
        <v>4.6363636363636367</v>
      </c>
      <c r="O52">
        <f t="shared" si="4"/>
        <v>3.9230769230769229</v>
      </c>
      <c r="R52" s="8" t="s">
        <v>48</v>
      </c>
      <c r="S52">
        <f t="shared" si="5"/>
        <v>3</v>
      </c>
      <c r="U52" s="5">
        <v>32</v>
      </c>
      <c r="V52">
        <f t="shared" si="6"/>
        <v>2.6842105263157894</v>
      </c>
    </row>
    <row r="53" spans="1:22" x14ac:dyDescent="0.3">
      <c r="A53">
        <v>52</v>
      </c>
      <c r="D53">
        <f t="shared" si="0"/>
        <v>17.333333333333332</v>
      </c>
      <c r="F53">
        <f t="shared" si="1"/>
        <v>10.4</v>
      </c>
      <c r="I53">
        <f t="shared" si="2"/>
        <v>7.4285714285714288</v>
      </c>
      <c r="L53">
        <f t="shared" si="3"/>
        <v>4.7272727272727275</v>
      </c>
      <c r="O53">
        <f t="shared" si="4"/>
        <v>4</v>
      </c>
      <c r="S53">
        <f t="shared" si="5"/>
        <v>3.0588235294117645</v>
      </c>
      <c r="U53" s="5">
        <v>33</v>
      </c>
      <c r="V53">
        <f t="shared" si="6"/>
        <v>2.736842105263158</v>
      </c>
    </row>
    <row r="54" spans="1:22" x14ac:dyDescent="0.3">
      <c r="A54">
        <v>53</v>
      </c>
      <c r="D54">
        <f t="shared" si="0"/>
        <v>17.666666666666668</v>
      </c>
      <c r="F54">
        <f t="shared" si="1"/>
        <v>10.6</v>
      </c>
      <c r="I54">
        <f t="shared" si="2"/>
        <v>7.5714285714285712</v>
      </c>
      <c r="L54">
        <f t="shared" si="3"/>
        <v>4.8181818181818183</v>
      </c>
      <c r="O54">
        <f t="shared" si="4"/>
        <v>4.0769230769230766</v>
      </c>
      <c r="S54">
        <f t="shared" si="5"/>
        <v>3.1176470588235294</v>
      </c>
      <c r="U54" s="5">
        <v>34</v>
      </c>
      <c r="V54">
        <f t="shared" si="6"/>
        <v>2.7894736842105261</v>
      </c>
    </row>
    <row r="55" spans="1:22" x14ac:dyDescent="0.3">
      <c r="A55">
        <v>54</v>
      </c>
      <c r="D55">
        <f t="shared" si="0"/>
        <v>18</v>
      </c>
      <c r="F55">
        <f t="shared" si="1"/>
        <v>10.8</v>
      </c>
      <c r="I55">
        <f t="shared" si="2"/>
        <v>7.7142857142857144</v>
      </c>
      <c r="L55">
        <f t="shared" si="3"/>
        <v>4.9090909090909092</v>
      </c>
      <c r="O55">
        <f t="shared" si="4"/>
        <v>4.1538461538461542</v>
      </c>
      <c r="S55">
        <f t="shared" si="5"/>
        <v>3.1764705882352939</v>
      </c>
      <c r="U55" s="5">
        <v>35</v>
      </c>
      <c r="V55">
        <f t="shared" si="6"/>
        <v>2.8421052631578947</v>
      </c>
    </row>
    <row r="56" spans="1:22" x14ac:dyDescent="0.3">
      <c r="A56">
        <v>55</v>
      </c>
      <c r="C56" t="s">
        <v>9</v>
      </c>
      <c r="D56">
        <f t="shared" si="0"/>
        <v>18.333333333333332</v>
      </c>
      <c r="E56" s="2" t="s">
        <v>9</v>
      </c>
      <c r="F56">
        <f t="shared" si="1"/>
        <v>11</v>
      </c>
      <c r="I56">
        <f t="shared" si="2"/>
        <v>7.8571428571428568</v>
      </c>
      <c r="K56" s="4" t="s">
        <v>29</v>
      </c>
      <c r="L56">
        <f t="shared" si="3"/>
        <v>5</v>
      </c>
      <c r="O56">
        <f t="shared" si="4"/>
        <v>4.2307692307692308</v>
      </c>
      <c r="S56">
        <f t="shared" si="5"/>
        <v>3.2352941176470589</v>
      </c>
      <c r="U56" s="5">
        <v>36</v>
      </c>
      <c r="V56">
        <f t="shared" si="6"/>
        <v>2.8947368421052633</v>
      </c>
    </row>
    <row r="57" spans="1:22" x14ac:dyDescent="0.3">
      <c r="A57">
        <v>56</v>
      </c>
      <c r="D57">
        <f t="shared" si="0"/>
        <v>18.666666666666668</v>
      </c>
      <c r="F57">
        <f t="shared" si="1"/>
        <v>11.2</v>
      </c>
      <c r="I57">
        <f t="shared" si="2"/>
        <v>8</v>
      </c>
      <c r="L57">
        <f t="shared" si="3"/>
        <v>5.0909090909090908</v>
      </c>
      <c r="O57">
        <f t="shared" si="4"/>
        <v>4.3076923076923075</v>
      </c>
      <c r="S57">
        <f t="shared" si="5"/>
        <v>3.2941176470588234</v>
      </c>
      <c r="U57" s="5">
        <v>37</v>
      </c>
      <c r="V57">
        <f t="shared" si="6"/>
        <v>2.9473684210526314</v>
      </c>
    </row>
    <row r="58" spans="1:22" x14ac:dyDescent="0.3">
      <c r="A58">
        <v>57</v>
      </c>
      <c r="C58" s="1" t="s">
        <v>11</v>
      </c>
      <c r="D58">
        <f t="shared" si="0"/>
        <v>19</v>
      </c>
      <c r="F58">
        <f t="shared" si="1"/>
        <v>11.4</v>
      </c>
      <c r="I58">
        <f t="shared" si="2"/>
        <v>8.1428571428571423</v>
      </c>
      <c r="L58">
        <f t="shared" si="3"/>
        <v>5.1818181818181817</v>
      </c>
      <c r="O58">
        <f t="shared" si="4"/>
        <v>4.384615384615385</v>
      </c>
      <c r="R58" s="10"/>
      <c r="S58">
        <f t="shared" si="5"/>
        <v>3.3529411764705883</v>
      </c>
      <c r="U58" s="8" t="s">
        <v>50</v>
      </c>
      <c r="V58">
        <f t="shared" si="6"/>
        <v>3</v>
      </c>
    </row>
    <row r="59" spans="1:22" x14ac:dyDescent="0.3">
      <c r="A59">
        <v>58</v>
      </c>
      <c r="D59">
        <f t="shared" si="0"/>
        <v>19.333333333333332</v>
      </c>
      <c r="F59">
        <f t="shared" si="1"/>
        <v>11.6</v>
      </c>
      <c r="I59">
        <f t="shared" si="2"/>
        <v>8.2857142857142865</v>
      </c>
      <c r="L59">
        <f t="shared" si="3"/>
        <v>5.2727272727272725</v>
      </c>
      <c r="O59">
        <f t="shared" si="4"/>
        <v>4.4615384615384617</v>
      </c>
      <c r="S59">
        <f t="shared" si="5"/>
        <v>3.4117647058823528</v>
      </c>
      <c r="V59">
        <f t="shared" si="6"/>
        <v>3.0526315789473686</v>
      </c>
    </row>
    <row r="60" spans="1:22" x14ac:dyDescent="0.3">
      <c r="A60">
        <v>59</v>
      </c>
      <c r="D60">
        <f t="shared" si="0"/>
        <v>19.666666666666668</v>
      </c>
      <c r="F60">
        <f t="shared" si="1"/>
        <v>11.8</v>
      </c>
      <c r="I60">
        <f t="shared" si="2"/>
        <v>8.4285714285714288</v>
      </c>
      <c r="L60">
        <f t="shared" si="3"/>
        <v>5.3636363636363633</v>
      </c>
      <c r="O60">
        <f t="shared" si="4"/>
        <v>4.5384615384615383</v>
      </c>
      <c r="S60">
        <f t="shared" si="5"/>
        <v>3.4705882352941178</v>
      </c>
      <c r="V60">
        <f t="shared" si="6"/>
        <v>3.1052631578947367</v>
      </c>
    </row>
    <row r="61" spans="1:22" x14ac:dyDescent="0.3">
      <c r="A61">
        <v>60</v>
      </c>
      <c r="D61">
        <f t="shared" si="0"/>
        <v>20</v>
      </c>
      <c r="F61">
        <f t="shared" si="1"/>
        <v>12</v>
      </c>
      <c r="I61">
        <f t="shared" si="2"/>
        <v>8.5714285714285712</v>
      </c>
      <c r="L61">
        <f t="shared" si="3"/>
        <v>5.4545454545454541</v>
      </c>
      <c r="O61">
        <f t="shared" si="4"/>
        <v>4.615384615384615</v>
      </c>
      <c r="S61">
        <f t="shared" si="5"/>
        <v>3.5294117647058822</v>
      </c>
      <c r="V61">
        <f t="shared" si="6"/>
        <v>3.1578947368421053</v>
      </c>
    </row>
    <row r="62" spans="1:22" x14ac:dyDescent="0.3">
      <c r="A62">
        <v>61</v>
      </c>
      <c r="D62">
        <f t="shared" si="0"/>
        <v>20.333333333333332</v>
      </c>
      <c r="F62">
        <f t="shared" si="1"/>
        <v>12.2</v>
      </c>
      <c r="I62">
        <f t="shared" si="2"/>
        <v>8.7142857142857135</v>
      </c>
      <c r="L62">
        <f t="shared" si="3"/>
        <v>5.5454545454545459</v>
      </c>
      <c r="O62">
        <f t="shared" si="4"/>
        <v>4.6923076923076925</v>
      </c>
      <c r="S62">
        <f t="shared" si="5"/>
        <v>3.5882352941176472</v>
      </c>
      <c r="V62">
        <f t="shared" si="6"/>
        <v>3.2105263157894739</v>
      </c>
    </row>
    <row r="63" spans="1:22" x14ac:dyDescent="0.3">
      <c r="A63">
        <v>62</v>
      </c>
      <c r="D63">
        <f t="shared" si="0"/>
        <v>20.666666666666668</v>
      </c>
      <c r="F63">
        <f t="shared" si="1"/>
        <v>12.4</v>
      </c>
      <c r="I63">
        <f t="shared" si="2"/>
        <v>8.8571428571428577</v>
      </c>
      <c r="L63">
        <f t="shared" si="3"/>
        <v>5.6363636363636367</v>
      </c>
      <c r="O63">
        <f t="shared" si="4"/>
        <v>4.7692307692307692</v>
      </c>
      <c r="S63">
        <f t="shared" si="5"/>
        <v>3.6470588235294117</v>
      </c>
      <c r="V63">
        <f t="shared" si="6"/>
        <v>3.263157894736842</v>
      </c>
    </row>
    <row r="64" spans="1:22" x14ac:dyDescent="0.3">
      <c r="A64">
        <v>63</v>
      </c>
      <c r="C64" s="1" t="s">
        <v>12</v>
      </c>
      <c r="D64">
        <f t="shared" si="0"/>
        <v>21</v>
      </c>
      <c r="F64">
        <f t="shared" si="1"/>
        <v>12.6</v>
      </c>
      <c r="H64" s="3" t="s">
        <v>25</v>
      </c>
      <c r="I64">
        <f t="shared" si="2"/>
        <v>9</v>
      </c>
      <c r="L64">
        <f t="shared" si="3"/>
        <v>5.7272727272727275</v>
      </c>
      <c r="O64">
        <f t="shared" si="4"/>
        <v>4.8461538461538458</v>
      </c>
      <c r="S64">
        <f t="shared" si="5"/>
        <v>3.7058823529411766</v>
      </c>
      <c r="V64">
        <f t="shared" si="6"/>
        <v>3.3157894736842106</v>
      </c>
    </row>
    <row r="65" spans="1:22" x14ac:dyDescent="0.3">
      <c r="A65">
        <v>64</v>
      </c>
      <c r="D65">
        <f t="shared" si="0"/>
        <v>21.333333333333332</v>
      </c>
      <c r="F65">
        <f t="shared" si="1"/>
        <v>12.8</v>
      </c>
      <c r="I65">
        <f t="shared" si="2"/>
        <v>9.1428571428571423</v>
      </c>
      <c r="L65">
        <f t="shared" si="3"/>
        <v>5.8181818181818183</v>
      </c>
      <c r="O65">
        <f t="shared" si="4"/>
        <v>4.9230769230769234</v>
      </c>
      <c r="S65">
        <f t="shared" si="5"/>
        <v>3.7647058823529411</v>
      </c>
      <c r="V65">
        <f t="shared" si="6"/>
        <v>3.3684210526315788</v>
      </c>
    </row>
    <row r="66" spans="1:22" x14ac:dyDescent="0.3">
      <c r="A66">
        <v>65</v>
      </c>
      <c r="D66">
        <f t="shared" ref="D66:D98" si="7">A66/3</f>
        <v>21.666666666666668</v>
      </c>
      <c r="E66" s="2" t="s">
        <v>18</v>
      </c>
      <c r="F66">
        <f t="shared" si="1"/>
        <v>13</v>
      </c>
      <c r="I66">
        <f t="shared" si="2"/>
        <v>9.2857142857142865</v>
      </c>
      <c r="L66">
        <f t="shared" si="3"/>
        <v>5.9090909090909092</v>
      </c>
      <c r="N66" s="7" t="s">
        <v>32</v>
      </c>
      <c r="O66">
        <f t="shared" si="4"/>
        <v>5</v>
      </c>
      <c r="S66">
        <f t="shared" si="5"/>
        <v>3.8235294117647061</v>
      </c>
      <c r="V66">
        <f t="shared" si="6"/>
        <v>3.4210526315789473</v>
      </c>
    </row>
    <row r="67" spans="1:22" x14ac:dyDescent="0.3">
      <c r="A67">
        <v>66</v>
      </c>
      <c r="D67">
        <f t="shared" si="7"/>
        <v>22</v>
      </c>
      <c r="F67">
        <f t="shared" ref="F67:F96" si="8">A67/5</f>
        <v>13.2</v>
      </c>
      <c r="I67">
        <f t="shared" ref="I67:I96" si="9">A67/7</f>
        <v>9.4285714285714288</v>
      </c>
      <c r="L67">
        <f t="shared" ref="L67:L96" si="10">A67/11</f>
        <v>6</v>
      </c>
      <c r="O67">
        <f t="shared" ref="O67:O96" si="11">A67/13</f>
        <v>5.0769230769230766</v>
      </c>
      <c r="S67">
        <f t="shared" ref="S67:S96" si="12">A67/17</f>
        <v>3.8823529411764706</v>
      </c>
      <c r="V67">
        <f t="shared" ref="V67:V96" si="13">A67/19</f>
        <v>3.4736842105263159</v>
      </c>
    </row>
    <row r="68" spans="1:22" x14ac:dyDescent="0.3">
      <c r="A68">
        <v>67</v>
      </c>
      <c r="D68">
        <f t="shared" si="7"/>
        <v>22.333333333333332</v>
      </c>
      <c r="F68">
        <f t="shared" si="8"/>
        <v>13.4</v>
      </c>
      <c r="I68">
        <f t="shared" si="9"/>
        <v>9.5714285714285712</v>
      </c>
      <c r="L68">
        <f t="shared" si="10"/>
        <v>6.0909090909090908</v>
      </c>
      <c r="O68">
        <f t="shared" si="11"/>
        <v>5.1538461538461542</v>
      </c>
      <c r="S68">
        <f t="shared" si="12"/>
        <v>3.9411764705882355</v>
      </c>
      <c r="V68">
        <f t="shared" si="13"/>
        <v>3.5263157894736841</v>
      </c>
    </row>
    <row r="69" spans="1:22" x14ac:dyDescent="0.3">
      <c r="A69">
        <v>68</v>
      </c>
      <c r="D69">
        <f t="shared" si="7"/>
        <v>22.666666666666668</v>
      </c>
      <c r="F69">
        <f t="shared" si="8"/>
        <v>13.6</v>
      </c>
      <c r="I69">
        <f t="shared" si="9"/>
        <v>9.7142857142857135</v>
      </c>
      <c r="L69">
        <f t="shared" si="10"/>
        <v>6.1818181818181817</v>
      </c>
      <c r="O69">
        <f t="shared" si="11"/>
        <v>5.2307692307692308</v>
      </c>
      <c r="S69">
        <f t="shared" si="12"/>
        <v>4</v>
      </c>
      <c r="V69">
        <f t="shared" si="13"/>
        <v>3.5789473684210527</v>
      </c>
    </row>
    <row r="70" spans="1:22" x14ac:dyDescent="0.3">
      <c r="A70">
        <v>69</v>
      </c>
      <c r="C70" s="1" t="s">
        <v>13</v>
      </c>
      <c r="D70">
        <f t="shared" si="7"/>
        <v>23</v>
      </c>
      <c r="F70">
        <f t="shared" si="8"/>
        <v>13.8</v>
      </c>
      <c r="I70">
        <f t="shared" si="9"/>
        <v>9.8571428571428577</v>
      </c>
      <c r="L70">
        <f t="shared" si="10"/>
        <v>6.2727272727272725</v>
      </c>
      <c r="O70">
        <f t="shared" si="11"/>
        <v>5.3076923076923075</v>
      </c>
      <c r="S70">
        <f t="shared" si="12"/>
        <v>4.0588235294117645</v>
      </c>
      <c r="V70">
        <f t="shared" si="13"/>
        <v>3.6315789473684212</v>
      </c>
    </row>
    <row r="71" spans="1:22" x14ac:dyDescent="0.3">
      <c r="A71">
        <v>70</v>
      </c>
      <c r="D71">
        <f t="shared" si="7"/>
        <v>23.333333333333332</v>
      </c>
      <c r="F71">
        <f t="shared" si="8"/>
        <v>14</v>
      </c>
      <c r="I71">
        <f t="shared" si="9"/>
        <v>10</v>
      </c>
      <c r="L71">
        <f t="shared" si="10"/>
        <v>6.3636363636363633</v>
      </c>
      <c r="O71">
        <f t="shared" si="11"/>
        <v>5.384615384615385</v>
      </c>
      <c r="S71">
        <f t="shared" si="12"/>
        <v>4.117647058823529</v>
      </c>
      <c r="V71">
        <f t="shared" si="13"/>
        <v>3.6842105263157894</v>
      </c>
    </row>
    <row r="72" spans="1:22" x14ac:dyDescent="0.3">
      <c r="A72">
        <v>71</v>
      </c>
      <c r="D72">
        <f t="shared" si="7"/>
        <v>23.666666666666668</v>
      </c>
      <c r="F72">
        <f t="shared" si="8"/>
        <v>14.2</v>
      </c>
      <c r="I72">
        <f t="shared" si="9"/>
        <v>10.142857142857142</v>
      </c>
      <c r="L72">
        <f t="shared" si="10"/>
        <v>6.4545454545454541</v>
      </c>
      <c r="O72">
        <f t="shared" si="11"/>
        <v>5.4615384615384617</v>
      </c>
      <c r="S72">
        <f t="shared" si="12"/>
        <v>4.1764705882352944</v>
      </c>
      <c r="V72">
        <f t="shared" si="13"/>
        <v>3.736842105263158</v>
      </c>
    </row>
    <row r="73" spans="1:22" x14ac:dyDescent="0.3">
      <c r="A73">
        <v>72</v>
      </c>
      <c r="D73">
        <f t="shared" si="7"/>
        <v>24</v>
      </c>
      <c r="F73">
        <f t="shared" si="8"/>
        <v>14.4</v>
      </c>
      <c r="I73">
        <f t="shared" si="9"/>
        <v>10.285714285714286</v>
      </c>
      <c r="L73">
        <f t="shared" si="10"/>
        <v>6.5454545454545459</v>
      </c>
      <c r="O73">
        <f t="shared" si="11"/>
        <v>5.5384615384615383</v>
      </c>
      <c r="S73">
        <f t="shared" si="12"/>
        <v>4.2352941176470589</v>
      </c>
      <c r="V73">
        <f t="shared" si="13"/>
        <v>3.7894736842105261</v>
      </c>
    </row>
    <row r="74" spans="1:22" x14ac:dyDescent="0.3">
      <c r="A74">
        <v>73</v>
      </c>
      <c r="D74">
        <f t="shared" si="7"/>
        <v>24.333333333333332</v>
      </c>
      <c r="F74">
        <f t="shared" si="8"/>
        <v>14.6</v>
      </c>
      <c r="I74">
        <f t="shared" si="9"/>
        <v>10.428571428571429</v>
      </c>
      <c r="L74">
        <f t="shared" si="10"/>
        <v>6.6363636363636367</v>
      </c>
      <c r="O74">
        <f t="shared" si="11"/>
        <v>5.615384615384615</v>
      </c>
      <c r="S74">
        <f t="shared" si="12"/>
        <v>4.2941176470588234</v>
      </c>
      <c r="V74">
        <f t="shared" si="13"/>
        <v>3.8421052631578947</v>
      </c>
    </row>
    <row r="75" spans="1:22" x14ac:dyDescent="0.3">
      <c r="A75">
        <v>74</v>
      </c>
      <c r="D75">
        <f t="shared" si="7"/>
        <v>24.666666666666668</v>
      </c>
      <c r="F75">
        <f t="shared" si="8"/>
        <v>14.8</v>
      </c>
      <c r="I75">
        <f t="shared" si="9"/>
        <v>10.571428571428571</v>
      </c>
      <c r="L75">
        <f t="shared" si="10"/>
        <v>6.7272727272727275</v>
      </c>
      <c r="O75">
        <f t="shared" si="11"/>
        <v>5.6923076923076925</v>
      </c>
      <c r="S75">
        <f t="shared" si="12"/>
        <v>4.3529411764705879</v>
      </c>
      <c r="V75">
        <f t="shared" si="13"/>
        <v>3.8947368421052633</v>
      </c>
    </row>
    <row r="76" spans="1:22" x14ac:dyDescent="0.3">
      <c r="A76">
        <v>75</v>
      </c>
      <c r="C76" s="1" t="s">
        <v>14</v>
      </c>
      <c r="D76">
        <f t="shared" si="7"/>
        <v>25</v>
      </c>
      <c r="E76" s="2" t="s">
        <v>14</v>
      </c>
      <c r="F76">
        <f t="shared" si="8"/>
        <v>15</v>
      </c>
      <c r="I76">
        <f t="shared" si="9"/>
        <v>10.714285714285714</v>
      </c>
      <c r="L76">
        <f t="shared" si="10"/>
        <v>6.8181818181818183</v>
      </c>
      <c r="O76">
        <f t="shared" si="11"/>
        <v>5.7692307692307692</v>
      </c>
      <c r="S76">
        <f t="shared" si="12"/>
        <v>4.4117647058823533</v>
      </c>
      <c r="V76">
        <f t="shared" si="13"/>
        <v>3.9473684210526314</v>
      </c>
    </row>
    <row r="77" spans="1:22" x14ac:dyDescent="0.3">
      <c r="A77">
        <v>76</v>
      </c>
      <c r="D77">
        <f t="shared" si="7"/>
        <v>25.333333333333332</v>
      </c>
      <c r="F77">
        <f t="shared" si="8"/>
        <v>15.2</v>
      </c>
      <c r="I77">
        <f t="shared" si="9"/>
        <v>10.857142857142858</v>
      </c>
      <c r="L77">
        <f t="shared" si="10"/>
        <v>6.9090909090909092</v>
      </c>
      <c r="O77">
        <f t="shared" si="11"/>
        <v>5.8461538461538458</v>
      </c>
      <c r="S77">
        <f t="shared" si="12"/>
        <v>4.4705882352941178</v>
      </c>
      <c r="V77">
        <f t="shared" si="13"/>
        <v>4</v>
      </c>
    </row>
    <row r="78" spans="1:22" x14ac:dyDescent="0.3">
      <c r="A78">
        <v>77</v>
      </c>
      <c r="D78">
        <f t="shared" si="7"/>
        <v>25.666666666666668</v>
      </c>
      <c r="F78">
        <f t="shared" si="8"/>
        <v>15.4</v>
      </c>
      <c r="H78" s="3" t="s">
        <v>26</v>
      </c>
      <c r="I78">
        <f t="shared" si="9"/>
        <v>11</v>
      </c>
      <c r="K78" s="4" t="s">
        <v>30</v>
      </c>
      <c r="L78">
        <f t="shared" si="10"/>
        <v>7</v>
      </c>
      <c r="O78">
        <f t="shared" si="11"/>
        <v>5.9230769230769234</v>
      </c>
      <c r="S78">
        <f t="shared" si="12"/>
        <v>4.5294117647058822</v>
      </c>
      <c r="V78">
        <f t="shared" si="13"/>
        <v>4.0526315789473681</v>
      </c>
    </row>
    <row r="79" spans="1:22" x14ac:dyDescent="0.3">
      <c r="A79">
        <v>78</v>
      </c>
      <c r="D79">
        <f t="shared" si="7"/>
        <v>26</v>
      </c>
      <c r="F79">
        <f t="shared" si="8"/>
        <v>15.6</v>
      </c>
      <c r="I79">
        <f t="shared" si="9"/>
        <v>11.142857142857142</v>
      </c>
      <c r="L79">
        <f t="shared" si="10"/>
        <v>7.0909090909090908</v>
      </c>
      <c r="O79">
        <f t="shared" si="11"/>
        <v>6</v>
      </c>
      <c r="S79">
        <f t="shared" si="12"/>
        <v>4.5882352941176467</v>
      </c>
      <c r="V79">
        <f t="shared" si="13"/>
        <v>4.1052631578947372</v>
      </c>
    </row>
    <row r="80" spans="1:22" x14ac:dyDescent="0.3">
      <c r="A80">
        <v>79</v>
      </c>
      <c r="D80">
        <f t="shared" si="7"/>
        <v>26.333333333333332</v>
      </c>
      <c r="F80">
        <f t="shared" si="8"/>
        <v>15.8</v>
      </c>
      <c r="I80">
        <f t="shared" si="9"/>
        <v>11.285714285714286</v>
      </c>
      <c r="L80">
        <f t="shared" si="10"/>
        <v>7.1818181818181817</v>
      </c>
      <c r="O80">
        <f t="shared" si="11"/>
        <v>6.0769230769230766</v>
      </c>
      <c r="S80">
        <f t="shared" si="12"/>
        <v>4.6470588235294121</v>
      </c>
      <c r="V80">
        <f t="shared" si="13"/>
        <v>4.1578947368421053</v>
      </c>
    </row>
    <row r="81" spans="1:22" x14ac:dyDescent="0.3">
      <c r="A81">
        <v>80</v>
      </c>
      <c r="D81">
        <f t="shared" si="7"/>
        <v>26.666666666666668</v>
      </c>
      <c r="F81">
        <f t="shared" si="8"/>
        <v>16</v>
      </c>
      <c r="I81">
        <f t="shared" si="9"/>
        <v>11.428571428571429</v>
      </c>
      <c r="L81">
        <f t="shared" si="10"/>
        <v>7.2727272727272725</v>
      </c>
      <c r="O81">
        <f t="shared" si="11"/>
        <v>6.1538461538461542</v>
      </c>
      <c r="S81">
        <f t="shared" si="12"/>
        <v>4.7058823529411766</v>
      </c>
      <c r="V81">
        <f t="shared" si="13"/>
        <v>4.2105263157894735</v>
      </c>
    </row>
    <row r="82" spans="1:22" x14ac:dyDescent="0.3">
      <c r="A82">
        <v>81</v>
      </c>
      <c r="C82" s="1" t="s">
        <v>15</v>
      </c>
      <c r="D82">
        <f t="shared" si="7"/>
        <v>27</v>
      </c>
      <c r="F82">
        <f t="shared" si="8"/>
        <v>16.2</v>
      </c>
      <c r="I82">
        <f t="shared" si="9"/>
        <v>11.571428571428571</v>
      </c>
      <c r="L82">
        <f t="shared" si="10"/>
        <v>7.3636363636363633</v>
      </c>
      <c r="O82">
        <f t="shared" si="11"/>
        <v>6.2307692307692308</v>
      </c>
      <c r="S82">
        <f t="shared" si="12"/>
        <v>4.7647058823529411</v>
      </c>
      <c r="V82">
        <f t="shared" si="13"/>
        <v>4.2631578947368425</v>
      </c>
    </row>
    <row r="83" spans="1:22" x14ac:dyDescent="0.3">
      <c r="A83">
        <v>82</v>
      </c>
      <c r="D83">
        <f t="shared" si="7"/>
        <v>27.333333333333332</v>
      </c>
      <c r="F83">
        <f t="shared" si="8"/>
        <v>16.399999999999999</v>
      </c>
      <c r="I83">
        <f t="shared" si="9"/>
        <v>11.714285714285714</v>
      </c>
      <c r="L83">
        <f t="shared" si="10"/>
        <v>7.4545454545454541</v>
      </c>
      <c r="O83">
        <f t="shared" si="11"/>
        <v>6.3076923076923075</v>
      </c>
      <c r="S83">
        <f t="shared" si="12"/>
        <v>4.8235294117647056</v>
      </c>
      <c r="V83">
        <f t="shared" si="13"/>
        <v>4.3157894736842106</v>
      </c>
    </row>
    <row r="84" spans="1:22" x14ac:dyDescent="0.3">
      <c r="A84">
        <v>83</v>
      </c>
      <c r="D84">
        <f t="shared" si="7"/>
        <v>27.666666666666668</v>
      </c>
      <c r="F84">
        <f t="shared" si="8"/>
        <v>16.600000000000001</v>
      </c>
      <c r="I84">
        <f t="shared" si="9"/>
        <v>11.857142857142858</v>
      </c>
      <c r="L84">
        <f t="shared" si="10"/>
        <v>7.5454545454545459</v>
      </c>
      <c r="O84">
        <f t="shared" si="11"/>
        <v>6.384615384615385</v>
      </c>
      <c r="S84">
        <f t="shared" si="12"/>
        <v>4.882352941176471</v>
      </c>
      <c r="V84">
        <f t="shared" si="13"/>
        <v>4.3684210526315788</v>
      </c>
    </row>
    <row r="85" spans="1:22" x14ac:dyDescent="0.3">
      <c r="A85">
        <v>84</v>
      </c>
      <c r="D85">
        <f t="shared" si="7"/>
        <v>28</v>
      </c>
      <c r="F85">
        <f t="shared" si="8"/>
        <v>16.8</v>
      </c>
      <c r="I85">
        <f t="shared" si="9"/>
        <v>12</v>
      </c>
      <c r="L85">
        <f t="shared" si="10"/>
        <v>7.6363636363636367</v>
      </c>
      <c r="O85">
        <f t="shared" si="11"/>
        <v>6.4615384615384617</v>
      </c>
      <c r="S85">
        <f t="shared" si="12"/>
        <v>4.9411764705882355</v>
      </c>
      <c r="V85">
        <f t="shared" si="13"/>
        <v>4.4210526315789478</v>
      </c>
    </row>
    <row r="86" spans="1:22" x14ac:dyDescent="0.3">
      <c r="A86">
        <v>85</v>
      </c>
      <c r="D86">
        <f t="shared" si="7"/>
        <v>28.333333333333332</v>
      </c>
      <c r="E86" s="2" t="s">
        <v>19</v>
      </c>
      <c r="F86">
        <f t="shared" si="8"/>
        <v>17</v>
      </c>
      <c r="I86">
        <f t="shared" si="9"/>
        <v>12.142857142857142</v>
      </c>
      <c r="L86">
        <f t="shared" si="10"/>
        <v>7.7272727272727275</v>
      </c>
      <c r="O86">
        <f t="shared" si="11"/>
        <v>6.5384615384615383</v>
      </c>
      <c r="R86" s="8" t="s">
        <v>54</v>
      </c>
      <c r="S86">
        <f t="shared" si="12"/>
        <v>5</v>
      </c>
      <c r="V86">
        <f t="shared" si="13"/>
        <v>4.4736842105263159</v>
      </c>
    </row>
    <row r="87" spans="1:22" x14ac:dyDescent="0.3">
      <c r="A87">
        <v>86</v>
      </c>
      <c r="D87">
        <f t="shared" si="7"/>
        <v>28.666666666666668</v>
      </c>
      <c r="F87">
        <f t="shared" si="8"/>
        <v>17.2</v>
      </c>
      <c r="I87">
        <f t="shared" si="9"/>
        <v>12.285714285714286</v>
      </c>
      <c r="L87">
        <f t="shared" si="10"/>
        <v>7.8181818181818183</v>
      </c>
      <c r="O87">
        <f t="shared" si="11"/>
        <v>6.615384615384615</v>
      </c>
      <c r="S87">
        <f t="shared" si="12"/>
        <v>5.0588235294117645</v>
      </c>
      <c r="V87">
        <f t="shared" si="13"/>
        <v>4.5263157894736841</v>
      </c>
    </row>
    <row r="88" spans="1:22" x14ac:dyDescent="0.3">
      <c r="A88">
        <v>87</v>
      </c>
      <c r="C88" s="1" t="s">
        <v>16</v>
      </c>
      <c r="D88">
        <f t="shared" si="7"/>
        <v>29</v>
      </c>
      <c r="F88">
        <f t="shared" si="8"/>
        <v>17.399999999999999</v>
      </c>
      <c r="I88">
        <f t="shared" si="9"/>
        <v>12.428571428571429</v>
      </c>
      <c r="L88">
        <f t="shared" si="10"/>
        <v>7.9090909090909092</v>
      </c>
      <c r="O88">
        <f t="shared" si="11"/>
        <v>6.6923076923076925</v>
      </c>
      <c r="S88">
        <f t="shared" si="12"/>
        <v>5.117647058823529</v>
      </c>
      <c r="V88">
        <f t="shared" si="13"/>
        <v>4.5789473684210522</v>
      </c>
    </row>
    <row r="89" spans="1:22" x14ac:dyDescent="0.3">
      <c r="A89">
        <v>88</v>
      </c>
      <c r="D89">
        <f t="shared" si="7"/>
        <v>29.333333333333332</v>
      </c>
      <c r="F89">
        <f t="shared" si="8"/>
        <v>17.600000000000001</v>
      </c>
      <c r="I89">
        <f t="shared" si="9"/>
        <v>12.571428571428571</v>
      </c>
      <c r="L89">
        <f t="shared" si="10"/>
        <v>8</v>
      </c>
      <c r="O89">
        <f t="shared" si="11"/>
        <v>6.7692307692307692</v>
      </c>
      <c r="S89">
        <f t="shared" si="12"/>
        <v>5.1764705882352944</v>
      </c>
      <c r="V89">
        <f t="shared" si="13"/>
        <v>4.6315789473684212</v>
      </c>
    </row>
    <row r="90" spans="1:22" x14ac:dyDescent="0.3">
      <c r="A90">
        <v>89</v>
      </c>
      <c r="D90">
        <f t="shared" si="7"/>
        <v>29.666666666666668</v>
      </c>
      <c r="F90">
        <f t="shared" si="8"/>
        <v>17.8</v>
      </c>
      <c r="I90">
        <f t="shared" si="9"/>
        <v>12.714285714285714</v>
      </c>
      <c r="L90">
        <f t="shared" si="10"/>
        <v>8.0909090909090917</v>
      </c>
      <c r="O90">
        <f t="shared" si="11"/>
        <v>6.8461538461538458</v>
      </c>
      <c r="S90">
        <f t="shared" si="12"/>
        <v>5.2352941176470589</v>
      </c>
      <c r="V90">
        <f t="shared" si="13"/>
        <v>4.6842105263157894</v>
      </c>
    </row>
    <row r="91" spans="1:22" x14ac:dyDescent="0.3">
      <c r="A91">
        <v>90</v>
      </c>
      <c r="D91">
        <f t="shared" si="7"/>
        <v>30</v>
      </c>
      <c r="F91">
        <f t="shared" si="8"/>
        <v>18</v>
      </c>
      <c r="I91">
        <f t="shared" si="9"/>
        <v>12.857142857142858</v>
      </c>
      <c r="L91">
        <f t="shared" si="10"/>
        <v>8.1818181818181817</v>
      </c>
      <c r="O91">
        <f t="shared" si="11"/>
        <v>6.9230769230769234</v>
      </c>
      <c r="S91">
        <f t="shared" si="12"/>
        <v>5.2941176470588234</v>
      </c>
      <c r="V91">
        <f t="shared" si="13"/>
        <v>4.7368421052631575</v>
      </c>
    </row>
    <row r="92" spans="1:22" x14ac:dyDescent="0.3">
      <c r="A92">
        <v>91</v>
      </c>
      <c r="D92">
        <f t="shared" si="7"/>
        <v>30.333333333333332</v>
      </c>
      <c r="F92">
        <f t="shared" si="8"/>
        <v>18.2</v>
      </c>
      <c r="H92" s="3" t="s">
        <v>27</v>
      </c>
      <c r="I92">
        <f t="shared" si="9"/>
        <v>13</v>
      </c>
      <c r="L92">
        <f t="shared" si="10"/>
        <v>8.2727272727272734</v>
      </c>
      <c r="N92" s="7" t="s">
        <v>33</v>
      </c>
      <c r="O92">
        <f t="shared" si="11"/>
        <v>7</v>
      </c>
      <c r="S92">
        <f t="shared" si="12"/>
        <v>5.3529411764705879</v>
      </c>
      <c r="V92">
        <f t="shared" si="13"/>
        <v>4.7894736842105265</v>
      </c>
    </row>
    <row r="93" spans="1:22" x14ac:dyDescent="0.3">
      <c r="A93">
        <v>92</v>
      </c>
      <c r="D93">
        <f t="shared" si="7"/>
        <v>30.666666666666668</v>
      </c>
      <c r="F93">
        <f t="shared" si="8"/>
        <v>18.399999999999999</v>
      </c>
      <c r="I93">
        <f t="shared" si="9"/>
        <v>13.142857142857142</v>
      </c>
      <c r="L93">
        <f t="shared" si="10"/>
        <v>8.3636363636363633</v>
      </c>
      <c r="O93">
        <f t="shared" si="11"/>
        <v>7.0769230769230766</v>
      </c>
      <c r="S93">
        <f t="shared" si="12"/>
        <v>5.4117647058823533</v>
      </c>
      <c r="V93">
        <f t="shared" si="13"/>
        <v>4.8421052631578947</v>
      </c>
    </row>
    <row r="94" spans="1:22" x14ac:dyDescent="0.3">
      <c r="A94">
        <v>93</v>
      </c>
      <c r="C94" s="1" t="s">
        <v>20</v>
      </c>
      <c r="D94">
        <f t="shared" si="7"/>
        <v>31</v>
      </c>
      <c r="F94">
        <f t="shared" si="8"/>
        <v>18.600000000000001</v>
      </c>
      <c r="I94">
        <f t="shared" si="9"/>
        <v>13.285714285714286</v>
      </c>
      <c r="L94">
        <f t="shared" si="10"/>
        <v>8.454545454545455</v>
      </c>
      <c r="O94">
        <f t="shared" si="11"/>
        <v>7.1538461538461542</v>
      </c>
      <c r="S94">
        <f t="shared" si="12"/>
        <v>5.4705882352941178</v>
      </c>
      <c r="V94">
        <f t="shared" si="13"/>
        <v>4.8947368421052628</v>
      </c>
    </row>
    <row r="95" spans="1:22" x14ac:dyDescent="0.3">
      <c r="A95">
        <v>94</v>
      </c>
      <c r="D95">
        <f t="shared" si="7"/>
        <v>31.333333333333332</v>
      </c>
      <c r="F95">
        <f t="shared" si="8"/>
        <v>18.8</v>
      </c>
      <c r="I95">
        <f t="shared" si="9"/>
        <v>13.428571428571429</v>
      </c>
      <c r="L95">
        <f t="shared" si="10"/>
        <v>8.545454545454545</v>
      </c>
      <c r="O95">
        <f t="shared" si="11"/>
        <v>7.2307692307692308</v>
      </c>
      <c r="S95">
        <f t="shared" si="12"/>
        <v>5.5294117647058822</v>
      </c>
      <c r="V95">
        <f t="shared" si="13"/>
        <v>4.9473684210526319</v>
      </c>
    </row>
    <row r="96" spans="1:22" x14ac:dyDescent="0.3">
      <c r="A96">
        <v>95</v>
      </c>
      <c r="D96">
        <f t="shared" si="7"/>
        <v>31.666666666666668</v>
      </c>
      <c r="E96" s="2" t="s">
        <v>21</v>
      </c>
      <c r="F96">
        <f t="shared" si="8"/>
        <v>19</v>
      </c>
      <c r="I96">
        <f t="shared" si="9"/>
        <v>13.571428571428571</v>
      </c>
      <c r="L96">
        <f t="shared" si="10"/>
        <v>8.6363636363636367</v>
      </c>
      <c r="O96">
        <f t="shared" si="11"/>
        <v>7.3076923076923075</v>
      </c>
      <c r="S96">
        <f t="shared" si="12"/>
        <v>5.5882352941176467</v>
      </c>
      <c r="U96" s="8" t="s">
        <v>55</v>
      </c>
      <c r="V96">
        <f t="shared" si="13"/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Soltan</dc:creator>
  <cp:lastModifiedBy>Shaimaa Soltan</cp:lastModifiedBy>
  <dcterms:created xsi:type="dcterms:W3CDTF">2026-04-03T00:00:16Z</dcterms:created>
  <dcterms:modified xsi:type="dcterms:W3CDTF">2026-04-03T03:20:28Z</dcterms:modified>
</cp:coreProperties>
</file>